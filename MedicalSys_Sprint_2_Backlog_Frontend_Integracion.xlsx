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cfa265928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umen" sheetId="1" r:id="Rb23b9c0a704c4f9b"/>
    <x:sheet xmlns:r="http://schemas.openxmlformats.org/officeDocument/2006/relationships" name="01_Historias" sheetId="2" r:id="R7934ef012b104e22"/>
    <x:sheet xmlns:r="http://schemas.openxmlformats.org/officeDocument/2006/relationships" name="02_Tareas" sheetId="3" r:id="R71a1b561d2f24c4b"/>
    <x:sheet xmlns:r="http://schemas.openxmlformats.org/officeDocument/2006/relationships" name="03_Plan_Diario" sheetId="4" r:id="R4e3b9f6962024a0e"/>
    <x:sheet xmlns:r="http://schemas.openxmlformats.org/officeDocument/2006/relationships" name="04_Roles_UX" sheetId="5" r:id="Rfd1df6efd1fa4237"/>
    <x:sheet xmlns:r="http://schemas.openxmlformats.org/officeDocument/2006/relationships" name="05_DoD_Riesgos" sheetId="6" r:id="R4f05aa680493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&quot; h&quot;"/>
    <x:numFmt numFmtId="202" formatCode="0"/>
    <x:numFmt numFmtId="203" formatCode="dd-mmm-yyyy"/>
  </x:numFmts>
  <x:fonts count="17">
    <x:font>
      <x:sz val="11"/>
      <x:name val="Carlito"/>
    </x:font>
    <x:font>
      <x:b/>
      <x:sz val="24"/>
      <x:color rgb="FFFFFFFF"/>
      <x:name val="Carlito"/>
    </x:font>
    <x:font>
      <x:i/>
      <x:sz val="11"/>
      <x:color rgb="FF475569"/>
      <x:name val="Carlito"/>
    </x:font>
    <x:font>
      <x:b/>
      <x:sz val="13"/>
      <x:color rgb="FFFFFFFF"/>
      <x:name val="Carlito"/>
    </x:font>
    <x:font>
      <x:b/>
      <x:sz val="17"/>
      <x:color rgb="FF0F172A"/>
      <x:name val="Carlito"/>
    </x:font>
    <x:font>
      <x:b/>
      <x:sz val="11"/>
      <x:color rgb="FFFFFFFF"/>
      <x:name val="Carlito"/>
    </x:font>
    <x:font>
      <x:b/>
      <x:sz val="20"/>
      <x:color rgb="FF0F172A"/>
      <x:name val="Carlito"/>
    </x:font>
    <x:font>
      <x:sz val="11"/>
      <x:color rgb="FF475569"/>
      <x:name val="Carlito"/>
    </x:font>
    <x:font>
      <x:sz val="10"/>
      <x:color rgb="FF475569"/>
      <x:name val="Carlito"/>
    </x:font>
    <x:font>
      <x:b/>
      <x:sz val="14"/>
      <x:color rgb="FF7C3AED"/>
      <x:name val="Carlito"/>
    </x:font>
    <x:font>
      <x:b/>
      <x:sz val="11"/>
      <x:color rgb="FF0F172A"/>
      <x:name val="Carlito"/>
    </x:font>
    <x:font>
      <x:i/>
      <x:sz val="10"/>
      <x:color rgb="FF64748B"/>
      <x:name val="Carlito"/>
    </x:font>
    <x:font>
      <x:b/>
      <x:sz val="11"/>
      <x:color rgb="FF7C3AED"/>
      <x:name val="Carlito"/>
    </x:font>
    <x:font>
      <x:b/>
      <x:sz val="10"/>
      <x:color rgb="FF0F172A"/>
      <x:name val="Aptos"/>
    </x:font>
    <x:font>
      <x:i/>
      <x:sz val="10"/>
      <x:color rgb="FF0F172A"/>
      <x:name val="Aptos"/>
    </x:font>
    <x:font>
      <x:sz val="10"/>
      <x:color rgb="FF0F172A"/>
      <x:name val="Aptos"/>
    </x:font>
    <x:font>
      <x:b/>
      <x:sz val="24"/>
      <x:color rgb="FFFFFFFF"/>
      <x:name val="Aptos Display"/>
    </x:font>
  </x:fonts>
  <x:fills count="1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0F766E"/>
      </x:patternFill>
    </x:fill>
    <x:fill>
      <x:patternFill patternType="solid">
        <x:fgColor rgb="FFF0FDF4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7C3AED"/>
      </x:patternFill>
    </x:fill>
    <x:fill>
      <x:patternFill patternType="solid">
        <x:fgColor rgb="FF0EA5E9"/>
      </x:patternFill>
    </x:fill>
    <x:fill>
      <x:patternFill patternType="solid">
        <x:fgColor rgb="FFDC2626"/>
      </x:patternFill>
    </x:fill>
    <x:fill>
      <x:patternFill patternType="solid">
        <x:fgColor rgb="FF16A34A"/>
      </x:patternFill>
    </x:fill>
    <x:fill>
      <x:patternFill patternType="solid">
        <x:fgColor rgb="FF475569"/>
      </x:patternFill>
    </x:fill>
    <x:fill>
      <x:patternFill patternType="solid">
        <x:fgColor rgb="FFF5F3FF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</x:fills>
  <x:borders count="53">
    <x:border/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2563EB"/>
      </x:left>
      <x:top style="medium">
        <x:color rgb="FF2563EB"/>
      </x:top>
    </x:border>
    <x:border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  <x:bottom style="medium">
        <x:color rgb="FF2563EB"/>
      </x:bottom>
    </x:border>
    <x:border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7C3AED"/>
      </x:left>
      <x:top style="medium">
        <x:color rgb="FF7C3AED"/>
      </x:top>
    </x:border>
    <x:border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  <x:bottom style="medium">
        <x:color rgb="FF7C3AED"/>
      </x:bottom>
    </x:border>
    <x:border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medium">
        <x:color rgb="FF0EA5E9"/>
      </x:left>
      <x:top style="medium">
        <x:color rgb="FF0EA5E9"/>
      </x:top>
    </x:border>
    <x:border>
      <x:top style="medium">
        <x:color rgb="FF0EA5E9"/>
      </x:top>
    </x:border>
    <x:border>
      <x:right style="medium">
        <x:color rgb="FF0EA5E9"/>
      </x:right>
      <x:top style="medium">
        <x:color rgb="FF0EA5E9"/>
      </x:top>
    </x:border>
    <x:border>
      <x:left style="medium">
        <x:color rgb="FF0EA5E9"/>
      </x:left>
      <x:bottom style="medium">
        <x:color rgb="FF0EA5E9"/>
      </x:bottom>
    </x:border>
    <x:border>
      <x:bottom style="medium">
        <x:color rgb="FF0EA5E9"/>
      </x:bottom>
    </x:border>
    <x:border>
      <x:right style="medium">
        <x:color rgb="FF0EA5E9"/>
      </x:right>
      <x:bottom style="medium">
        <x:color rgb="FF0EA5E9"/>
      </x:bottom>
    </x:border>
    <x:border>
      <x:left style="medium">
        <x:color rgb="FFDC2626"/>
      </x:left>
      <x:top style="medium">
        <x:color rgb="FFDC2626"/>
      </x:top>
    </x:border>
    <x:border>
      <x:top style="medium">
        <x:color rgb="FFDC2626"/>
      </x:top>
    </x:border>
    <x:border>
      <x:right style="medium">
        <x:color rgb="FFDC2626"/>
      </x:right>
      <x:top style="medium">
        <x:color rgb="FFDC2626"/>
      </x:top>
    </x:border>
    <x:border>
      <x:left style="medium">
        <x:color rgb="FFDC2626"/>
      </x:left>
      <x:bottom style="medium">
        <x:color rgb="FFDC2626"/>
      </x:bottom>
    </x:border>
    <x:border>
      <x:bottom style="medium">
        <x:color rgb="FFDC2626"/>
      </x:bottom>
    </x:border>
    <x:border>
      <x:right style="medium">
        <x:color rgb="FFDC2626"/>
      </x:right>
      <x:bottom style="medium">
        <x:color rgb="FFDC2626"/>
      </x:bottom>
    </x:border>
    <x:border>
      <x:left style="medium">
        <x:color rgb="FF16A34A"/>
      </x:left>
      <x:top style="medium">
        <x:color rgb="FF16A34A"/>
      </x:top>
    </x:border>
    <x:border>
      <x:right style="medium">
        <x:color rgb="FF16A34A"/>
      </x:right>
      <x:top style="medium">
        <x:color rgb="FF16A34A"/>
      </x:top>
    </x:border>
    <x:border>
      <x:left style="medium">
        <x:color rgb="FF16A34A"/>
      </x:left>
      <x:bottom style="medium">
        <x:color rgb="FF16A34A"/>
      </x:bottom>
    </x:border>
    <x:border>
      <x:right style="medium">
        <x:color rgb="FF16A34A"/>
      </x:right>
      <x:bottom style="medium">
        <x:color rgb="FF16A34A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medium">
        <x:color rgb="FFF59E0B"/>
      </x:left>
      <x:top style="medium">
        <x:color rgb="FFF59E0B"/>
      </x:top>
    </x:border>
    <x:border>
      <x:top style="medium">
        <x:color rgb="FFF59E0B"/>
      </x:top>
    </x:border>
    <x:border>
      <x:right style="medium">
        <x:color rgb="FFF59E0B"/>
      </x:right>
      <x:top style="medium">
        <x:color rgb="FFF59E0B"/>
      </x:top>
    </x:border>
    <x:border>
      <x:left style="medium">
        <x:color rgb="FFF59E0B"/>
      </x:left>
    </x:border>
    <x:border>
      <x:right style="medium">
        <x:color rgb="FFF59E0B"/>
      </x:right>
    </x:border>
    <x:border>
      <x:left style="medium">
        <x:color rgb="FFF59E0B"/>
      </x:left>
      <x:bottom style="medium">
        <x:color rgb="FFF59E0B"/>
      </x:bottom>
    </x:border>
    <x:border>
      <x:bottom style="medium">
        <x:color rgb="FFF59E0B"/>
      </x:bottom>
    </x:border>
    <x:border>
      <x:right style="medium">
        <x:color rgb="FFF59E0B"/>
      </x:right>
      <x:bottom style="medium">
        <x:color rgb="FFF59E0B"/>
      </x:bottom>
    </x:border>
    <x:border>
      <x:left style="thin">
        <x:color rgb="FF0EA5E9"/>
      </x:left>
      <x:top style="thin">
        <x:color rgb="FF0EA5E9"/>
      </x:top>
    </x:border>
    <x:border>
      <x:top style="thin">
        <x:color rgb="FF0EA5E9"/>
      </x:top>
    </x:border>
    <x:border>
      <x:right style="thin">
        <x:color rgb="FF0EA5E9"/>
      </x:right>
      <x:top style="thin">
        <x:color rgb="FF0EA5E9"/>
      </x:top>
    </x:border>
    <x:border>
      <x:left style="thin">
        <x:color rgb="FF0EA5E9"/>
      </x:left>
      <x:bottom style="thin">
        <x:color rgb="FF0EA5E9"/>
      </x:bottom>
    </x:border>
    <x:border>
      <x:bottom style="thin">
        <x:color rgb="FF0EA5E9"/>
      </x:bottom>
    </x:border>
    <x:border>
      <x:right style="thin">
        <x:color rgb="FF0EA5E9"/>
      </x:right>
      <x:bottom style="thin">
        <x:color rgb="FF0EA5E9"/>
      </x:bottom>
    </x:border>
    <x:border>
      <x:left style="medium">
        <x:color rgb="FF7C3AED"/>
      </x:left>
      <x:top style="medium">
        <x:color rgb="FF7C3AED"/>
      </x:top>
      <x:bottom style="medium">
        <x:color rgb="FF7C3AED"/>
      </x:bottom>
    </x:border>
    <x:border>
      <x:top style="medium">
        <x:color rgb="FF7C3AED"/>
      </x:top>
      <x:bottom style="medium">
        <x:color rgb="FF7C3AED"/>
      </x:bottom>
    </x:border>
    <x:border>
      <x:right style="medium">
        <x:color rgb="FF7C3AED"/>
      </x:right>
      <x:top style="medium">
        <x:color rgb="FF7C3AED"/>
      </x:top>
      <x:bottom style="medium">
        <x:color rgb="FF7C3AED"/>
      </x:bottom>
    </x:border>
  </x:borders>
  <x:cellStyleXfs count="1">
    <x:xf numFmtId="0" fontId="0" fillId="0" borderId="0"/>
  </x:cellStyleXfs>
  <x:cellXfs count="3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7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12" xfId="0" applyNumberFormat="1" applyFont="1" applyFill="1" applyBorder="1"/>
    <x:xf numFmtId="0" fontId="6" fillId="7" borderId="7" xfId="0" applyNumberFormat="1" applyFont="1" applyFill="1" applyBorder="1" applyAlignment="1">
      <x:alignment horizontal="center"/>
    </x:xf>
    <x:xf numFmtId="0" fontId="6" fillId="7" borderId="8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11" xfId="0" applyNumberFormat="1" applyFont="1" applyFill="1" applyBorder="1" applyAlignment="1">
      <x:alignment horizontal="center"/>
    </x:xf>
    <x:xf numFmtId="0" fontId="6" fillId="7" borderId="12" xfId="0" applyNumberFormat="1" applyFont="1" applyFill="1" applyBorder="1" applyAlignment="1">
      <x:alignment horizontal="center"/>
    </x:xf>
    <x:xf numFmtId="0" fontId="6" fillId="7" borderId="7" xfId="0" applyNumberFormat="1" applyFont="1" applyFill="1" applyBorder="1" applyAlignment="1">
      <x:alignment horizontal="center" vertical="center"/>
    </x:xf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6" fillId="7" borderId="11" xfId="0" applyNumberFormat="1" applyFont="1" applyFill="1" applyBorder="1" applyAlignment="1">
      <x:alignment horizontal="center" vertical="center"/>
    </x:xf>
    <x:xf numFmtId="0" fontId="6" fillId="7" borderId="1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6" fillId="7" borderId="13" xfId="0" applyNumberFormat="1" applyFont="1" applyFill="1" applyBorder="1"/>
    <x:xf numFmtId="0" fontId="6" fillId="7" borderId="14" xfId="0" applyNumberFormat="1" applyFont="1" applyFill="1" applyBorder="1"/>
    <x:xf numFmtId="0" fontId="6" fillId="7" borderId="15" xfId="0" applyNumberFormat="1" applyFont="1" applyFill="1" applyBorder="1"/>
    <x:xf numFmtId="0" fontId="6" fillId="7" borderId="16" xfId="0" applyNumberFormat="1" applyFont="1" applyFill="1" applyBorder="1"/>
    <x:xf numFmtId="0" fontId="6" fillId="7" borderId="17" xfId="0" applyNumberFormat="1" applyFont="1" applyFill="1" applyBorder="1"/>
    <x:xf numFmtId="0" fontId="6" fillId="7" borderId="18" xfId="0" applyNumberFormat="1" applyFont="1" applyFill="1" applyBorder="1"/>
    <x:xf numFmtId="0" fontId="6" fillId="7" borderId="13" xfId="0" applyNumberFormat="1" applyFont="1" applyFill="1" applyBorder="1" applyAlignment="1">
      <x:alignment horizontal="center"/>
    </x:xf>
    <x:xf numFmtId="0" fontId="6" fillId="7" borderId="14" xfId="0" applyNumberFormat="1" applyFont="1" applyFill="1" applyBorder="1" applyAlignment="1">
      <x:alignment horizontal="center"/>
    </x:xf>
    <x:xf numFmtId="0" fontId="6" fillId="7" borderId="15" xfId="0" applyNumberFormat="1" applyFont="1" applyFill="1" applyBorder="1" applyAlignment="1">
      <x:alignment horizontal="center"/>
    </x:xf>
    <x:xf numFmtId="0" fontId="6" fillId="7" borderId="16" xfId="0" applyNumberFormat="1" applyFont="1" applyFill="1" applyBorder="1" applyAlignment="1">
      <x:alignment horizontal="center"/>
    </x:xf>
    <x:xf numFmtId="0" fontId="6" fillId="7" borderId="17" xfId="0" applyNumberFormat="1" applyFont="1" applyFill="1" applyBorder="1" applyAlignment="1">
      <x:alignment horizontal="center"/>
    </x:xf>
    <x:xf numFmtId="0" fontId="6" fillId="7" borderId="18" xfId="0" applyNumberFormat="1" applyFont="1" applyFill="1" applyBorder="1" applyAlignment="1">
      <x:alignment horizontal="center"/>
    </x:xf>
    <x:xf numFmtId="0" fontId="6" fillId="7" borderId="13" xfId="0" applyNumberFormat="1" applyFont="1" applyFill="1" applyBorder="1" applyAlignment="1">
      <x:alignment horizontal="center" vertical="center"/>
    </x:xf>
    <x:xf numFmtId="0" fontId="6" fillId="7" borderId="14" xfId="0" applyNumberFormat="1" applyFont="1" applyFill="1" applyBorder="1" applyAlignment="1">
      <x:alignment horizontal="center" vertical="center"/>
    </x:xf>
    <x:xf numFmtId="0" fontId="6" fillId="7" borderId="15" xfId="0" applyNumberFormat="1" applyFont="1" applyFill="1" applyBorder="1" applyAlignment="1">
      <x:alignment horizontal="center" vertical="center"/>
    </x:xf>
    <x:xf numFmtId="0" fontId="6" fillId="7" borderId="16" xfId="0" applyNumberFormat="1" applyFont="1" applyFill="1" applyBorder="1" applyAlignment="1">
      <x:alignment horizontal="center" vertical="center"/>
    </x:xf>
    <x:xf numFmtId="0" fontId="6" fillId="7" borderId="17" xfId="0" applyNumberFormat="1" applyFont="1" applyFill="1" applyBorder="1" applyAlignment="1">
      <x:alignment horizontal="center" vertical="center"/>
    </x:xf>
    <x:xf numFmtId="0" fontId="6" fillId="7" borderId="18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0" fontId="6" fillId="7" borderId="21" xfId="0" applyNumberFormat="1" applyFont="1" applyFill="1" applyBorder="1"/>
    <x:xf numFmtId="0" fontId="6" fillId="7" borderId="22" xfId="0" applyNumberFormat="1" applyFont="1" applyFill="1" applyBorder="1"/>
    <x:xf numFmtId="0" fontId="6" fillId="7" borderId="23" xfId="0" applyNumberFormat="1" applyFont="1" applyFill="1" applyBorder="1"/>
    <x:xf numFmtId="0" fontId="6" fillId="7" borderId="24" xfId="0" applyNumberFormat="1" applyFont="1" applyFill="1" applyBorder="1"/>
    <x:xf numFmtId="0" fontId="6" fillId="7" borderId="19" xfId="0" applyNumberFormat="1" applyFont="1" applyFill="1" applyBorder="1" applyAlignment="1">
      <x:alignment horizontal="center"/>
    </x:xf>
    <x:xf numFmtId="0" fontId="6" fillId="7" borderId="20" xfId="0" applyNumberFormat="1" applyFont="1" applyFill="1" applyBorder="1" applyAlignment="1">
      <x:alignment horizontal="center"/>
    </x:xf>
    <x:xf numFmtId="0" fontId="6" fillId="7" borderId="21" xfId="0" applyNumberFormat="1" applyFont="1" applyFill="1" applyBorder="1" applyAlignment="1">
      <x:alignment horizontal="center"/>
    </x:xf>
    <x:xf numFmtId="0" fontId="6" fillId="7" borderId="22" xfId="0" applyNumberFormat="1" applyFont="1" applyFill="1" applyBorder="1" applyAlignment="1">
      <x:alignment horizontal="center"/>
    </x:xf>
    <x:xf numFmtId="0" fontId="6" fillId="7" borderId="23" xfId="0" applyNumberFormat="1" applyFont="1" applyFill="1" applyBorder="1" applyAlignment="1">
      <x:alignment horizontal="center"/>
    </x:xf>
    <x:xf numFmtId="0" fontId="6" fillId="7" borderId="24" xfId="0" applyNumberFormat="1" applyFont="1" applyFill="1" applyBorder="1" applyAlignment="1">
      <x:alignment horizontal="center"/>
    </x:xf>
    <x:xf numFmtId="0" fontId="6" fillId="7" borderId="19" xfId="0" applyNumberFormat="1" applyFont="1" applyFill="1" applyBorder="1" applyAlignment="1">
      <x:alignment horizontal="center" vertical="center"/>
    </x:xf>
    <x:xf numFmtId="0" fontId="6" fillId="7" borderId="20" xfId="0" applyNumberFormat="1" applyFont="1" applyFill="1" applyBorder="1" applyAlignment="1">
      <x:alignment horizontal="center" vertical="center"/>
    </x:xf>
    <x:xf numFmtId="0" fontId="6" fillId="7" borderId="21" xfId="0" applyNumberFormat="1" applyFont="1" applyFill="1" applyBorder="1" applyAlignment="1">
      <x:alignment horizontal="center" vertical="center"/>
    </x:xf>
    <x:xf numFmtId="0" fontId="6" fillId="7" borderId="22" xfId="0" applyNumberFormat="1" applyFont="1" applyFill="1" applyBorder="1" applyAlignment="1">
      <x:alignment horizontal="center" vertical="center"/>
    </x:xf>
    <x:xf numFmtId="0" fontId="6" fillId="7" borderId="23" xfId="0" applyNumberFormat="1" applyFont="1" applyFill="1" applyBorder="1" applyAlignment="1">
      <x:alignment horizontal="center" vertical="center"/>
    </x:xf>
    <x:xf numFmtId="0" fontId="6" fillId="7" borderId="24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6" fillId="7" borderId="25" xfId="0" applyNumberFormat="1" applyFont="1" applyFill="1" applyBorder="1"/>
    <x:xf numFmtId="0" fontId="6" fillId="7" borderId="26" xfId="0" applyNumberFormat="1" applyFont="1" applyFill="1" applyBorder="1"/>
    <x:xf numFmtId="0" fontId="6" fillId="7" borderId="27" xfId="0" applyNumberFormat="1" applyFont="1" applyFill="1" applyBorder="1"/>
    <x:xf numFmtId="0" fontId="6" fillId="7" borderId="28" xfId="0" applyNumberFormat="1" applyFont="1" applyFill="1" applyBorder="1"/>
    <x:xf numFmtId="0" fontId="6" fillId="7" borderId="29" xfId="0" applyNumberFormat="1" applyFont="1" applyFill="1" applyBorder="1"/>
    <x:xf numFmtId="0" fontId="6" fillId="7" borderId="30" xfId="0" applyNumberFormat="1" applyFont="1" applyFill="1" applyBorder="1"/>
    <x:xf numFmtId="0" fontId="6" fillId="7" borderId="25" xfId="0" applyNumberFormat="1" applyFont="1" applyFill="1" applyBorder="1" applyAlignment="1">
      <x:alignment horizontal="center"/>
    </x:xf>
    <x:xf numFmtId="0" fontId="6" fillId="7" borderId="26" xfId="0" applyNumberFormat="1" applyFont="1" applyFill="1" applyBorder="1" applyAlignment="1">
      <x:alignment horizontal="center"/>
    </x:xf>
    <x:xf numFmtId="0" fontId="6" fillId="7" borderId="27" xfId="0" applyNumberFormat="1" applyFont="1" applyFill="1" applyBorder="1" applyAlignment="1">
      <x:alignment horizontal="center"/>
    </x:xf>
    <x:xf numFmtId="0" fontId="6" fillId="7" borderId="28" xfId="0" applyNumberFormat="1" applyFont="1" applyFill="1" applyBorder="1" applyAlignment="1">
      <x:alignment horizontal="center"/>
    </x:xf>
    <x:xf numFmtId="0" fontId="6" fillId="7" borderId="29" xfId="0" applyNumberFormat="1" applyFont="1" applyFill="1" applyBorder="1" applyAlignment="1">
      <x:alignment horizontal="center"/>
    </x:xf>
    <x:xf numFmtId="0" fontId="6" fillId="7" borderId="30" xfId="0" applyNumberFormat="1" applyFont="1" applyFill="1" applyBorder="1" applyAlignment="1">
      <x:alignment horizontal="center"/>
    </x:xf>
    <x:xf numFmtId="0" fontId="6" fillId="7" borderId="25" xfId="0" applyNumberFormat="1" applyFont="1" applyFill="1" applyBorder="1" applyAlignment="1">
      <x:alignment horizontal="center" vertical="center"/>
    </x:xf>
    <x:xf numFmtId="0" fontId="6" fillId="7" borderId="26" xfId="0" applyNumberFormat="1" applyFont="1" applyFill="1" applyBorder="1" applyAlignment="1">
      <x:alignment horizontal="center" vertical="center"/>
    </x:xf>
    <x:xf numFmtId="0" fontId="6" fillId="7" borderId="27" xfId="0" applyNumberFormat="1" applyFont="1" applyFill="1" applyBorder="1" applyAlignment="1">
      <x:alignment horizontal="center" vertical="center"/>
    </x:xf>
    <x:xf numFmtId="0" fontId="6" fillId="7" borderId="28" xfId="0" applyNumberFormat="1" applyFont="1" applyFill="1" applyBorder="1" applyAlignment="1">
      <x:alignment horizontal="center" vertical="center"/>
    </x:xf>
    <x:xf numFmtId="0" fontId="6" fillId="7" borderId="29" xfId="0" applyNumberFormat="1" applyFont="1" applyFill="1" applyBorder="1" applyAlignment="1">
      <x:alignment horizontal="center" vertical="center"/>
    </x:xf>
    <x:xf numFmtId="0" fontId="6" fillId="7" borderId="3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6" fillId="7" borderId="31" xfId="0" applyNumberFormat="1" applyFont="1" applyFill="1" applyBorder="1"/>
    <x:xf numFmtId="0" fontId="6" fillId="7" borderId="32" xfId="0" applyNumberFormat="1" applyFont="1" applyFill="1" applyBorder="1"/>
    <x:xf numFmtId="0" fontId="6" fillId="7" borderId="33" xfId="0" applyNumberFormat="1" applyFont="1" applyFill="1" applyBorder="1"/>
    <x:xf numFmtId="0" fontId="6" fillId="7" borderId="34" xfId="0" applyNumberFormat="1" applyFont="1" applyFill="1" applyBorder="1"/>
    <x:xf numFmtId="0" fontId="6" fillId="7" borderId="31" xfId="0" applyNumberFormat="1" applyFont="1" applyFill="1" applyBorder="1" applyAlignment="1">
      <x:alignment horizontal="center"/>
    </x:xf>
    <x:xf numFmtId="0" fontId="6" fillId="7" borderId="32" xfId="0" applyNumberFormat="1" applyFont="1" applyFill="1" applyBorder="1" applyAlignment="1">
      <x:alignment horizontal="center"/>
    </x:xf>
    <x:xf numFmtId="0" fontId="6" fillId="7" borderId="33" xfId="0" applyNumberFormat="1" applyFont="1" applyFill="1" applyBorder="1" applyAlignment="1">
      <x:alignment horizontal="center"/>
    </x:xf>
    <x:xf numFmtId="0" fontId="6" fillId="7" borderId="34" xfId="0" applyNumberFormat="1" applyFont="1" applyFill="1" applyBorder="1" applyAlignment="1">
      <x:alignment horizontal="center"/>
    </x:xf>
    <x:xf numFmtId="0" fontId="6" fillId="7" borderId="31" xfId="0" applyNumberFormat="1" applyFont="1" applyFill="1" applyBorder="1" applyAlignment="1">
      <x:alignment horizontal="center" vertical="center"/>
    </x:xf>
    <x:xf numFmtId="0" fontId="6" fillId="7" borderId="32" xfId="0" applyNumberFormat="1" applyFont="1" applyFill="1" applyBorder="1" applyAlignment="1">
      <x:alignment horizontal="center" vertical="center"/>
    </x:xf>
    <x:xf numFmtId="0" fontId="6" fillId="7" borderId="33" xfId="0" applyNumberFormat="1" applyFont="1" applyFill="1" applyBorder="1" applyAlignment="1">
      <x:alignment horizontal="center" vertical="center"/>
    </x:xf>
    <x:xf numFmtId="0" fontId="6" fillId="7" borderId="34" xfId="0" applyNumberFormat="1" applyFont="1" applyFill="1" applyBorder="1" applyAlignment="1">
      <x:alignment horizontal="center" vertical="center"/>
    </x:xf>
    <x:xf numFmtId="200" fontId="6" fillId="7" borderId="31" xfId="0" applyNumberFormat="1" applyFont="1" applyFill="1" applyBorder="1" applyAlignment="1">
      <x:alignment horizontal="center" vertical="center"/>
    </x:xf>
    <x:xf numFmtId="200" fontId="6" fillId="7" borderId="32" xfId="0" applyNumberFormat="1" applyFont="1" applyFill="1" applyBorder="1" applyAlignment="1">
      <x:alignment horizontal="center" vertical="center"/>
    </x:xf>
    <x:xf numFmtId="200" fontId="6" fillId="7" borderId="33" xfId="0" applyNumberFormat="1" applyFont="1" applyFill="1" applyBorder="1" applyAlignment="1">
      <x:alignment horizontal="center" vertical="center"/>
    </x:xf>
    <x:xf numFmtId="200" fontId="6" fillId="7" borderId="34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/>
    <x:xf numFmtId="0" fontId="7" fillId="7" borderId="35" xfId="0" applyNumberFormat="1" applyFont="1" applyFill="1" applyBorder="1"/>
    <x:xf numFmtId="0" fontId="7" fillId="7" borderId="35" xfId="0" applyNumberFormat="1" applyFont="1" applyFill="1" applyBorder="1" applyAlignment="1">
      <x:alignment wrapText="1"/>
    </x:xf>
    <x:xf numFmtId="0" fontId="7" fillId="7" borderId="35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/>
    <x:xf numFmtId="0" fontId="8" fillId="7" borderId="35" xfId="0" applyNumberFormat="1" applyFont="1" applyFill="1" applyBorder="1"/>
    <x:xf numFmtId="0" fontId="8" fillId="7" borderId="35" xfId="0" applyNumberFormat="1" applyFont="1" applyFill="1" applyBorder="1" applyAlignment="1">
      <x:alignment wrapText="1"/>
    </x:xf>
    <x:xf numFmtId="0" fontId="8" fillId="7" borderId="35" xfId="0" applyNumberFormat="1" applyFont="1" applyFill="1" applyBorder="1" applyAlignment="1">
      <x:alignment vertical="center" wrapText="1"/>
    </x:xf>
    <x:xf numFmtId="0" fontId="8" fillId="13" borderId="35" xfId="0" applyNumberFormat="1" applyFont="1" applyFill="1" applyBorder="1" applyAlignment="1">
      <x:alignment vertical="center" wrapText="1"/>
    </x:xf>
    <x:xf numFmtId="0" fontId="9" fillId="13" borderId="35" xfId="0" applyNumberFormat="1" applyFont="1" applyFill="1" applyBorder="1" applyAlignment="1">
      <x:alignment vertical="center" wrapText="1"/>
    </x:xf>
    <x:xf numFmtId="0" fontId="9" fillId="13" borderId="35" xfId="0" applyNumberFormat="1" applyFont="1" applyFill="1" applyBorder="1" applyAlignment="1">
      <x:alignment horizontal="center" vertical="center" wrapText="1"/>
    </x:xf>
    <x:xf numFmtId="0" fontId="10" fillId="7" borderId="35" xfId="0" applyNumberFormat="1" applyFont="1" applyFill="1" applyBorder="1" applyAlignment="1">
      <x:alignment vertical="center" wrapText="1"/>
    </x:xf>
    <x:xf numFmtId="0" fontId="5" fillId="6" borderId="35" xfId="0" applyNumberFormat="1" applyFont="1" applyFill="1" applyBorder="1"/>
    <x:xf numFmtId="0" fontId="5" fillId="6" borderId="35" xfId="0" applyNumberFormat="1" applyFont="1" applyFill="1" applyBorder="1" applyAlignment="1">
      <x:alignment wrapText="1"/>
    </x:xf>
    <x:xf numFmtId="0" fontId="5" fillId="6" borderId="35" xfId="0" applyNumberFormat="1" applyFont="1" applyFill="1" applyBorder="1" applyAlignment="1">
      <x:alignment horizontal="center" wrapText="1"/>
    </x:xf>
    <x:xf numFmtId="0" fontId="5" fillId="6" borderId="35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35" xfId="0" applyNumberFormat="1" applyFont="1" applyFill="1" applyBorder="1" applyAlignment="1">
      <x:alignment vertical="top"/>
    </x:xf>
    <x:xf numFmtId="0" fontId="0" fillId="0" borderId="35" xfId="0" applyNumberFormat="1" applyFont="1" applyFill="1" applyBorder="1" applyAlignment="1">
      <x:alignment vertical="top" wrapText="1"/>
    </x:xf>
    <x:xf numFmtId="201" fontId="0" fillId="0" borderId="35" xfId="0" applyNumberFormat="1" applyFont="1" applyFill="1" applyBorder="1" applyAlignment="1">
      <x:alignment vertical="top" wrapText="1"/>
    </x:xf>
    <x:xf numFmtId="200" fontId="0" fillId="0" borderId="3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36" xfId="0" applyNumberFormat="1" applyFont="1" applyFill="1" applyBorder="1"/>
    <x:xf numFmtId="0" fontId="7" fillId="15" borderId="37" xfId="0" applyNumberFormat="1" applyFont="1" applyFill="1" applyBorder="1"/>
    <x:xf numFmtId="0" fontId="7" fillId="15" borderId="38" xfId="0" applyNumberFormat="1" applyFont="1" applyFill="1" applyBorder="1"/>
    <x:xf numFmtId="0" fontId="7" fillId="15" borderId="39" xfId="0" applyNumberFormat="1" applyFont="1" applyFill="1" applyBorder="1"/>
    <x:xf numFmtId="0" fontId="7" fillId="15" borderId="40" xfId="0" applyNumberFormat="1" applyFont="1" applyFill="1" applyBorder="1"/>
    <x:xf numFmtId="0" fontId="7" fillId="15" borderId="41" xfId="0" applyNumberFormat="1" applyFont="1" applyFill="1" applyBorder="1"/>
    <x:xf numFmtId="0" fontId="7" fillId="15" borderId="42" xfId="0" applyNumberFormat="1" applyFont="1" applyFill="1" applyBorder="1"/>
    <x:xf numFmtId="0" fontId="7" fillId="15" borderId="43" xfId="0" applyNumberFormat="1" applyFont="1" applyFill="1" applyBorder="1"/>
    <x:xf numFmtId="0" fontId="7" fillId="15" borderId="36" xfId="0" applyNumberFormat="1" applyFont="1" applyFill="1" applyBorder="1" applyAlignment="1">
      <x:alignment wrapText="1"/>
    </x:xf>
    <x:xf numFmtId="0" fontId="7" fillId="15" borderId="37" xfId="0" applyNumberFormat="1" applyFont="1" applyFill="1" applyBorder="1" applyAlignment="1">
      <x:alignment wrapText="1"/>
    </x:xf>
    <x:xf numFmtId="0" fontId="7" fillId="15" borderId="38" xfId="0" applyNumberFormat="1" applyFont="1" applyFill="1" applyBorder="1" applyAlignment="1">
      <x:alignment wrapText="1"/>
    </x:xf>
    <x:xf numFmtId="0" fontId="7" fillId="15" borderId="39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wrapText="1"/>
    </x:xf>
    <x:xf numFmtId="0" fontId="7" fillId="15" borderId="40" xfId="0" applyNumberFormat="1" applyFont="1" applyFill="1" applyBorder="1" applyAlignment="1">
      <x:alignment wrapText="1"/>
    </x:xf>
    <x:xf numFmtId="0" fontId="7" fillId="15" borderId="41" xfId="0" applyNumberFormat="1" applyFont="1" applyFill="1" applyBorder="1" applyAlignment="1">
      <x:alignment wrapText="1"/>
    </x:xf>
    <x:xf numFmtId="0" fontId="7" fillId="15" borderId="42" xfId="0" applyNumberFormat="1" applyFont="1" applyFill="1" applyBorder="1" applyAlignment="1">
      <x:alignment wrapText="1"/>
    </x:xf>
    <x:xf numFmtId="0" fontId="7" fillId="15" borderId="43" xfId="0" applyNumberFormat="1" applyFont="1" applyFill="1" applyBorder="1" applyAlignment="1">
      <x:alignment wrapText="1"/>
    </x:xf>
    <x:xf numFmtId="0" fontId="7" fillId="15" borderId="36" xfId="0" applyNumberFormat="1" applyFont="1" applyFill="1" applyBorder="1" applyAlignment="1">
      <x:alignment vertical="top" wrapText="1"/>
    </x:xf>
    <x:xf numFmtId="0" fontId="7" fillId="15" borderId="37" xfId="0" applyNumberFormat="1" applyFont="1" applyFill="1" applyBorder="1" applyAlignment="1">
      <x:alignment vertical="top" wrapText="1"/>
    </x:xf>
    <x:xf numFmtId="0" fontId="7" fillId="15" borderId="38" xfId="0" applyNumberFormat="1" applyFont="1" applyFill="1" applyBorder="1" applyAlignment="1">
      <x:alignment vertical="top" wrapText="1"/>
    </x:xf>
    <x:xf numFmtId="0" fontId="7" fillId="15" borderId="39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7" fillId="15" borderId="40" xfId="0" applyNumberFormat="1" applyFont="1" applyFill="1" applyBorder="1" applyAlignment="1">
      <x:alignment vertical="top" wrapText="1"/>
    </x:xf>
    <x:xf numFmtId="0" fontId="7" fillId="15" borderId="41" xfId="0" applyNumberFormat="1" applyFont="1" applyFill="1" applyBorder="1" applyAlignment="1">
      <x:alignment vertical="top" wrapText="1"/>
    </x:xf>
    <x:xf numFmtId="0" fontId="7" fillId="15" borderId="42" xfId="0" applyNumberFormat="1" applyFont="1" applyFill="1" applyBorder="1" applyAlignment="1">
      <x:alignment vertical="top" wrapText="1"/>
    </x:xf>
    <x:xf numFmtId="0" fontId="7" fillId="15" borderId="43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/>
    <x:xf numFmtId="0" fontId="11" fillId="3" borderId="44" xfId="0" applyNumberFormat="1" applyFont="1" applyFill="1" applyBorder="1"/>
    <x:xf numFmtId="0" fontId="11" fillId="3" borderId="45" xfId="0" applyNumberFormat="1" applyFont="1" applyFill="1" applyBorder="1"/>
    <x:xf numFmtId="0" fontId="11" fillId="3" borderId="46" xfId="0" applyNumberFormat="1" applyFont="1" applyFill="1" applyBorder="1"/>
    <x:xf numFmtId="0" fontId="11" fillId="3" borderId="47" xfId="0" applyNumberFormat="1" applyFont="1" applyFill="1" applyBorder="1"/>
    <x:xf numFmtId="0" fontId="11" fillId="3" borderId="48" xfId="0" applyNumberFormat="1" applyFont="1" applyFill="1" applyBorder="1"/>
    <x:xf numFmtId="0" fontId="11" fillId="3" borderId="49" xfId="0" applyNumberFormat="1" applyFont="1" applyFill="1" applyBorder="1"/>
    <x:xf numFmtId="0" fontId="11" fillId="3" borderId="44" xfId="0" applyNumberFormat="1" applyFont="1" applyFill="1" applyBorder="1" applyAlignment="1">
      <x:alignment wrapText="1"/>
    </x:xf>
    <x:xf numFmtId="0" fontId="11" fillId="3" borderId="45" xfId="0" applyNumberFormat="1" applyFont="1" applyFill="1" applyBorder="1" applyAlignment="1">
      <x:alignment wrapText="1"/>
    </x:xf>
    <x:xf numFmtId="0" fontId="11" fillId="3" borderId="46" xfId="0" applyNumberFormat="1" applyFont="1" applyFill="1" applyBorder="1" applyAlignment="1">
      <x:alignment wrapText="1"/>
    </x:xf>
    <x:xf numFmtId="0" fontId="11" fillId="3" borderId="47" xfId="0" applyNumberFormat="1" applyFont="1" applyFill="1" applyBorder="1" applyAlignment="1">
      <x:alignment wrapText="1"/>
    </x:xf>
    <x:xf numFmtId="0" fontId="11" fillId="3" borderId="48" xfId="0" applyNumberFormat="1" applyFont="1" applyFill="1" applyBorder="1" applyAlignment="1">
      <x:alignment wrapText="1"/>
    </x:xf>
    <x:xf numFmtId="0" fontId="11" fillId="3" borderId="49" xfId="0" applyNumberFormat="1" applyFont="1" applyFill="1" applyBorder="1" applyAlignment="1">
      <x:alignment wrapText="1"/>
    </x:xf>
    <x:xf numFmtId="0" fontId="11" fillId="3" borderId="44" xfId="0" applyNumberFormat="1" applyFont="1" applyFill="1" applyBorder="1" applyAlignment="1">
      <x:alignment vertical="center" wrapText="1"/>
    </x:xf>
    <x:xf numFmtId="0" fontId="11" fillId="3" borderId="45" xfId="0" applyNumberFormat="1" applyFont="1" applyFill="1" applyBorder="1" applyAlignment="1">
      <x:alignment vertical="center" wrapText="1"/>
    </x:xf>
    <x:xf numFmtId="0" fontId="11" fillId="3" borderId="46" xfId="0" applyNumberFormat="1" applyFont="1" applyFill="1" applyBorder="1" applyAlignment="1">
      <x:alignment vertical="center" wrapText="1"/>
    </x:xf>
    <x:xf numFmtId="0" fontId="11" fillId="3" borderId="47" xfId="0" applyNumberFormat="1" applyFont="1" applyFill="1" applyBorder="1" applyAlignment="1">
      <x:alignment vertical="center" wrapText="1"/>
    </x:xf>
    <x:xf numFmtId="0" fontId="11" fillId="3" borderId="48" xfId="0" applyNumberFormat="1" applyFont="1" applyFill="1" applyBorder="1" applyAlignment="1">
      <x:alignment vertical="center" wrapText="1"/>
    </x:xf>
    <x:xf numFmtId="0" fontId="11" fillId="3" borderId="49" xfId="0" applyNumberFormat="1" applyFont="1" applyFill="1" applyBorder="1" applyAlignment="1">
      <x:alignment vertical="center" wrapText="1"/>
    </x:xf>
    <x:xf numFmtId="202" fontId="0" fillId="0" borderId="35" xfId="0" applyNumberFormat="1" applyFont="1" applyFill="1" applyBorder="1" applyAlignment="1">
      <x:alignment vertical="top" wrapText="1"/>
    </x:xf>
    <x:xf numFmtId="203" fontId="0" fillId="0" borderId="3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0" fillId="7" borderId="35" xfId="0" applyNumberFormat="1" applyFont="1" applyFill="1" applyBorder="1" applyAlignment="1">
      <x:alignment vertical="top" wrapText="1"/>
    </x:xf>
    <x:xf numFmtId="0" fontId="7" fillId="7" borderId="35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50" xfId="0" applyNumberFormat="1" applyFont="1" applyFill="1" applyBorder="1"/>
    <x:xf numFmtId="0" fontId="12" fillId="13" borderId="51" xfId="0" applyNumberFormat="1" applyFont="1" applyFill="1" applyBorder="1"/>
    <x:xf numFmtId="0" fontId="12" fillId="13" borderId="52" xfId="0" applyNumberFormat="1" applyFont="1" applyFill="1" applyBorder="1"/>
    <x:xf numFmtId="0" fontId="12" fillId="13" borderId="50" xfId="0" applyNumberFormat="1" applyFont="1" applyFill="1" applyBorder="1" applyAlignment="1">
      <x:alignment wrapText="1"/>
    </x:xf>
    <x:xf numFmtId="0" fontId="12" fillId="13" borderId="51" xfId="0" applyNumberFormat="1" applyFont="1" applyFill="1" applyBorder="1" applyAlignment="1">
      <x:alignment wrapText="1"/>
    </x:xf>
    <x:xf numFmtId="0" fontId="12" fillId="13" borderId="52" xfId="0" applyNumberFormat="1" applyFont="1" applyFill="1" applyBorder="1" applyAlignment="1">
      <x:alignment wrapText="1"/>
    </x:xf>
    <x:xf numFmtId="0" fontId="12" fillId="13" borderId="50" xfId="0" applyNumberFormat="1" applyFont="1" applyFill="1" applyBorder="1" applyAlignment="1">
      <x:alignment vertical="center" wrapText="1"/>
    </x:xf>
    <x:xf numFmtId="0" fontId="12" fillId="13" borderId="51" xfId="0" applyNumberFormat="1" applyFont="1" applyFill="1" applyBorder="1" applyAlignment="1">
      <x:alignment vertical="center" wrapText="1"/>
    </x:xf>
    <x:xf numFmtId="0" fontId="12" fillId="13" borderId="52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 applyAlignment="1">
      <x:alignment horizontal="left" vertical="center"/>
    </x:xf>
    <x:xf numFmtId="0" fontId="14" fillId="3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/>
    </x:xf>
    <x:xf numFmtId="0" fontId="13" fillId="5" borderId="1" xfId="0" applyNumberFormat="1" applyFont="1" applyFill="1" applyBorder="1" applyAlignment="1">
      <x:alignment horizontal="center" vertical="center" wrapText="1"/>
    </x:xf>
    <x:xf numFmtId="0" fontId="13" fillId="5" borderId="2" xfId="0" applyNumberFormat="1" applyFont="1" applyFill="1" applyBorder="1" applyAlignment="1">
      <x:alignment horizontal="center" vertical="center" wrapText="1"/>
    </x:xf>
    <x:xf numFmtId="0" fontId="13" fillId="5" borderId="3" xfId="0" applyNumberFormat="1" applyFont="1" applyFill="1" applyBorder="1" applyAlignment="1">
      <x:alignment horizontal="center" vertical="center" wrapText="1"/>
    </x:xf>
    <x:xf numFmtId="0" fontId="13" fillId="5" borderId="4" xfId="0" applyNumberFormat="1" applyFont="1" applyFill="1" applyBorder="1" applyAlignment="1">
      <x:alignment horizontal="center" vertical="center" wrapText="1"/>
    </x:xf>
    <x:xf numFmtId="0" fontId="13" fillId="5" borderId="5" xfId="0" applyNumberFormat="1" applyFont="1" applyFill="1" applyBorder="1" applyAlignment="1">
      <x:alignment horizontal="center" vertical="center" wrapText="1"/>
    </x:xf>
    <x:xf numFmtId="0" fontId="13" fillId="5" borderId="6" xfId="0" applyNumberFormat="1" applyFont="1" applyFill="1" applyBorder="1" applyAlignment="1">
      <x:alignment horizontal="center" vertical="center" wrapText="1"/>
    </x:xf>
    <x:xf numFmtId="0" fontId="13" fillId="6" borderId="0" xfId="0" applyNumberFormat="1" applyFont="1" applyFill="1" applyBorder="1" applyAlignment="1">
      <x:alignment horizontal="center" vertical="center"/>
    </x:xf>
    <x:xf numFmtId="0" fontId="13" fillId="8" borderId="0" xfId="0" applyNumberFormat="1" applyFont="1" applyFill="1" applyBorder="1" applyAlignment="1">
      <x:alignment horizontal="center" vertical="center"/>
    </x:xf>
    <x:xf numFmtId="0" fontId="13" fillId="9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0" fontId="13" fillId="11" borderId="0" xfId="0" applyNumberFormat="1" applyFont="1" applyFill="1" applyBorder="1" applyAlignment="1">
      <x:alignment horizontal="center" vertical="center"/>
    </x:xf>
    <x:xf numFmtId="0" fontId="13" fillId="7" borderId="7" xfId="0" applyNumberFormat="1" applyFont="1" applyFill="1" applyBorder="1" applyAlignment="1">
      <x:alignment horizontal="center" vertical="center"/>
    </x:xf>
    <x:xf numFmtId="0" fontId="13" fillId="7" borderId="8" xfId="0" applyNumberFormat="1" applyFont="1" applyFill="1" applyBorder="1" applyAlignment="1">
      <x:alignment horizontal="center" vertical="center"/>
    </x:xf>
    <x:xf numFmtId="0" fontId="13" fillId="7" borderId="9" xfId="0" applyNumberFormat="1" applyFont="1" applyFill="1" applyBorder="1" applyAlignment="1">
      <x:alignment horizontal="center" vertical="center"/>
    </x:xf>
    <x:xf numFmtId="0" fontId="13" fillId="7" borderId="13" xfId="0" applyNumberFormat="1" applyFont="1" applyFill="1" applyBorder="1" applyAlignment="1">
      <x:alignment horizontal="center" vertical="center"/>
    </x:xf>
    <x:xf numFmtId="0" fontId="13" fillId="7" borderId="14" xfId="0" applyNumberFormat="1" applyFont="1" applyFill="1" applyBorder="1" applyAlignment="1">
      <x:alignment horizontal="center" vertical="center"/>
    </x:xf>
    <x:xf numFmtId="0" fontId="13" fillId="7" borderId="15" xfId="0" applyNumberFormat="1" applyFont="1" applyFill="1" applyBorder="1" applyAlignment="1">
      <x:alignment horizontal="center" vertical="center"/>
    </x:xf>
    <x:xf numFmtId="0" fontId="13" fillId="7" borderId="19" xfId="0" applyNumberFormat="1" applyFont="1" applyFill="1" applyBorder="1" applyAlignment="1">
      <x:alignment horizontal="center" vertical="center"/>
    </x:xf>
    <x:xf numFmtId="0" fontId="13" fillId="7" borderId="20" xfId="0" applyNumberFormat="1" applyFont="1" applyFill="1" applyBorder="1" applyAlignment="1">
      <x:alignment horizontal="center" vertical="center"/>
    </x:xf>
    <x:xf numFmtId="0" fontId="13" fillId="7" borderId="21" xfId="0" applyNumberFormat="1" applyFont="1" applyFill="1" applyBorder="1" applyAlignment="1">
      <x:alignment horizontal="center" vertical="center"/>
    </x:xf>
    <x:xf numFmtId="0" fontId="13" fillId="7" borderId="25" xfId="0" applyNumberFormat="1" applyFont="1" applyFill="1" applyBorder="1" applyAlignment="1">
      <x:alignment horizontal="center" vertical="center"/>
    </x:xf>
    <x:xf numFmtId="0" fontId="13" fillId="7" borderId="26" xfId="0" applyNumberFormat="1" applyFont="1" applyFill="1" applyBorder="1" applyAlignment="1">
      <x:alignment horizontal="center" vertical="center"/>
    </x:xf>
    <x:xf numFmtId="0" fontId="13" fillId="7" borderId="27" xfId="0" applyNumberFormat="1" applyFont="1" applyFill="1" applyBorder="1" applyAlignment="1">
      <x:alignment horizontal="center" vertical="center"/>
    </x:xf>
    <x:xf numFmtId="200" fontId="13" fillId="7" borderId="31" xfId="0" applyNumberFormat="1" applyFont="1" applyFill="1" applyBorder="1" applyAlignment="1">
      <x:alignment horizontal="center" vertical="center"/>
    </x:xf>
    <x:xf numFmtId="200" fontId="13" fillId="7" borderId="32" xfId="0" applyNumberFormat="1" applyFont="1" applyFill="1" applyBorder="1" applyAlignment="1">
      <x:alignment horizontal="center" vertical="center"/>
    </x:xf>
    <x:xf numFmtId="0" fontId="13" fillId="7" borderId="10" xfId="0" applyNumberFormat="1" applyFont="1" applyFill="1" applyBorder="1" applyAlignment="1">
      <x:alignment horizontal="center" vertical="center"/>
    </x:xf>
    <x:xf numFmtId="0" fontId="13" fillId="7" borderId="11" xfId="0" applyNumberFormat="1" applyFont="1" applyFill="1" applyBorder="1" applyAlignment="1">
      <x:alignment horizontal="center" vertical="center"/>
    </x:xf>
    <x:xf numFmtId="0" fontId="13" fillId="7" borderId="12" xfId="0" applyNumberFormat="1" applyFont="1" applyFill="1" applyBorder="1" applyAlignment="1">
      <x:alignment horizontal="center" vertical="center"/>
    </x:xf>
    <x:xf numFmtId="0" fontId="13" fillId="7" borderId="16" xfId="0" applyNumberFormat="1" applyFont="1" applyFill="1" applyBorder="1" applyAlignment="1">
      <x:alignment horizontal="center" vertical="center"/>
    </x:xf>
    <x:xf numFmtId="0" fontId="13" fillId="7" borderId="17" xfId="0" applyNumberFormat="1" applyFont="1" applyFill="1" applyBorder="1" applyAlignment="1">
      <x:alignment horizontal="center" vertical="center"/>
    </x:xf>
    <x:xf numFmtId="0" fontId="13" fillId="7" borderId="18" xfId="0" applyNumberFormat="1" applyFont="1" applyFill="1" applyBorder="1" applyAlignment="1">
      <x:alignment horizontal="center" vertical="center"/>
    </x:xf>
    <x:xf numFmtId="0" fontId="13" fillId="7" borderId="22" xfId="0" applyNumberFormat="1" applyFont="1" applyFill="1" applyBorder="1" applyAlignment="1">
      <x:alignment horizontal="center" vertical="center"/>
    </x:xf>
    <x:xf numFmtId="0" fontId="13" fillId="7" borderId="23" xfId="0" applyNumberFormat="1" applyFont="1" applyFill="1" applyBorder="1" applyAlignment="1">
      <x:alignment horizontal="center" vertical="center"/>
    </x:xf>
    <x:xf numFmtId="0" fontId="13" fillId="7" borderId="24" xfId="0" applyNumberFormat="1" applyFont="1" applyFill="1" applyBorder="1" applyAlignment="1">
      <x:alignment horizontal="center" vertical="center"/>
    </x:xf>
    <x:xf numFmtId="0" fontId="13" fillId="7" borderId="28" xfId="0" applyNumberFormat="1" applyFont="1" applyFill="1" applyBorder="1" applyAlignment="1">
      <x:alignment horizontal="center" vertical="center"/>
    </x:xf>
    <x:xf numFmtId="0" fontId="13" fillId="7" borderId="29" xfId="0" applyNumberFormat="1" applyFont="1" applyFill="1" applyBorder="1" applyAlignment="1">
      <x:alignment horizontal="center" vertical="center"/>
    </x:xf>
    <x:xf numFmtId="0" fontId="13" fillId="7" borderId="30" xfId="0" applyNumberFormat="1" applyFont="1" applyFill="1" applyBorder="1" applyAlignment="1">
      <x:alignment horizontal="center" vertical="center"/>
    </x:xf>
    <x:xf numFmtId="200" fontId="13" fillId="7" borderId="33" xfId="0" applyNumberFormat="1" applyFont="1" applyFill="1" applyBorder="1" applyAlignment="1">
      <x:alignment horizontal="center" vertical="center"/>
    </x:xf>
    <x:xf numFmtId="200" fontId="13" fillId="7" borderId="34" xfId="0" applyNumberFormat="1" applyFont="1" applyFill="1" applyBorder="1" applyAlignment="1">
      <x:alignment horizontal="center" vertical="center"/>
    </x:xf>
    <x:xf numFmtId="0" fontId="13" fillId="6" borderId="0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 applyAlignment="1">
      <x:alignment vertical="center"/>
    </x:xf>
    <x:xf numFmtId="0" fontId="15" fillId="7" borderId="35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center"/>
    </x:xf>
    <x:xf numFmtId="0" fontId="13" fillId="13" borderId="35" xfId="0" applyNumberFormat="1" applyFont="1" applyFill="1" applyBorder="1" applyAlignment="1">
      <x:alignment horizontal="center" vertical="center" wrapText="1"/>
    </x:xf>
    <x:xf numFmtId="0" fontId="13" fillId="7" borderId="35" xfId="0" applyNumberFormat="1" applyFont="1" applyFill="1" applyBorder="1" applyAlignment="1">
      <x:alignment vertical="center" wrapText="1"/>
    </x:xf>
    <x:xf numFmtId="0" fontId="15" fillId="7" borderId="35" xfId="0" applyNumberFormat="1" applyFont="1" applyFill="1" applyBorder="1" applyAlignment="1">
      <x:alignment vertical="center" wrapText="1"/>
    </x:xf>
    <x:xf numFmtId="0" fontId="13" fillId="14" borderId="0" xfId="0" applyNumberFormat="1" applyFont="1" applyFill="1" applyBorder="1" applyAlignment="1">
      <x:alignment vertical="center"/>
    </x:xf>
    <x:xf numFmtId="0" fontId="13" fillId="6" borderId="35" xfId="0" applyNumberFormat="1" applyFont="1" applyFill="1" applyBorder="1" applyAlignment="1">
      <x:alignment horizontal="center" vertical="center" wrapText="1"/>
    </x:xf>
    <x:xf numFmtId="0" fontId="15" fillId="15" borderId="36" xfId="0" applyNumberFormat="1" applyFont="1" applyFill="1" applyBorder="1" applyAlignment="1">
      <x:alignment vertical="top" wrapText="1"/>
    </x:xf>
    <x:xf numFmtId="0" fontId="15" fillId="15" borderId="37" xfId="0" applyNumberFormat="1" applyFont="1" applyFill="1" applyBorder="1" applyAlignment="1">
      <x:alignment vertical="top" wrapText="1"/>
    </x:xf>
    <x:xf numFmtId="0" fontId="15" fillId="15" borderId="38" xfId="0" applyNumberFormat="1" applyFont="1" applyFill="1" applyBorder="1" applyAlignment="1">
      <x:alignment vertical="top" wrapText="1"/>
    </x:xf>
    <x:xf numFmtId="0" fontId="15" fillId="0" borderId="35" xfId="0" applyNumberFormat="1" applyFont="1" applyFill="1" applyBorder="1" applyAlignment="1">
      <x:alignment vertical="top" wrapText="1"/>
    </x:xf>
    <x:xf numFmtId="201" fontId="15" fillId="0" borderId="35" xfId="0" applyNumberFormat="1" applyFont="1" applyFill="1" applyBorder="1" applyAlignment="1">
      <x:alignment vertical="top" wrapText="1"/>
    </x:xf>
    <x:xf numFmtId="200" fontId="15" fillId="0" borderId="35" xfId="0" applyNumberFormat="1" applyFont="1" applyFill="1" applyBorder="1" applyAlignment="1">
      <x:alignment vertical="top" wrapText="1"/>
    </x:xf>
    <x:xf numFmtId="0" fontId="15" fillId="15" borderId="39" xfId="0" applyNumberFormat="1" applyFont="1" applyFill="1" applyBorder="1" applyAlignment="1">
      <x:alignment vertical="top" wrapText="1"/>
    </x:xf>
    <x:xf numFmtId="0" fontId="15" fillId="15" borderId="0" xfId="0" applyNumberFormat="1" applyFont="1" applyFill="1" applyBorder="1" applyAlignment="1">
      <x:alignment vertical="top" wrapText="1"/>
    </x:xf>
    <x:xf numFmtId="0" fontId="15" fillId="15" borderId="40" xfId="0" applyNumberFormat="1" applyFont="1" applyFill="1" applyBorder="1" applyAlignment="1">
      <x:alignment vertical="top" wrapText="1"/>
    </x:xf>
    <x:xf numFmtId="0" fontId="15" fillId="15" borderId="41" xfId="0" applyNumberFormat="1" applyFont="1" applyFill="1" applyBorder="1" applyAlignment="1">
      <x:alignment vertical="top" wrapText="1"/>
    </x:xf>
    <x:xf numFmtId="0" fontId="15" fillId="15" borderId="42" xfId="0" applyNumberFormat="1" applyFont="1" applyFill="1" applyBorder="1" applyAlignment="1">
      <x:alignment vertical="top" wrapText="1"/>
    </x:xf>
    <x:xf numFmtId="0" fontId="15" fillId="15" borderId="43" xfId="0" applyNumberFormat="1" applyFont="1" applyFill="1" applyBorder="1" applyAlignment="1">
      <x:alignment vertical="top" wrapText="1"/>
    </x:xf>
    <x:xf numFmtId="0" fontId="14" fillId="3" borderId="44" xfId="0" applyNumberFormat="1" applyFont="1" applyFill="1" applyBorder="1" applyAlignment="1">
      <x:alignment vertical="center" wrapText="1"/>
    </x:xf>
    <x:xf numFmtId="0" fontId="14" fillId="3" borderId="45" xfId="0" applyNumberFormat="1" applyFont="1" applyFill="1" applyBorder="1" applyAlignment="1">
      <x:alignment vertical="center" wrapText="1"/>
    </x:xf>
    <x:xf numFmtId="0" fontId="14" fillId="3" borderId="46" xfId="0" applyNumberFormat="1" applyFont="1" applyFill="1" applyBorder="1" applyAlignment="1">
      <x:alignment vertical="center" wrapText="1"/>
    </x:xf>
    <x:xf numFmtId="0" fontId="14" fillId="3" borderId="47" xfId="0" applyNumberFormat="1" applyFont="1" applyFill="1" applyBorder="1" applyAlignment="1">
      <x:alignment vertical="center" wrapText="1"/>
    </x:xf>
    <x:xf numFmtId="0" fontId="14" fillId="3" borderId="48" xfId="0" applyNumberFormat="1" applyFont="1" applyFill="1" applyBorder="1" applyAlignment="1">
      <x:alignment vertical="center" wrapText="1"/>
    </x:xf>
    <x:xf numFmtId="0" fontId="14" fillId="3" borderId="49" xfId="0" applyNumberFormat="1" applyFont="1" applyFill="1" applyBorder="1" applyAlignment="1">
      <x:alignment vertical="center" wrapText="1"/>
    </x:xf>
    <x:xf numFmtId="202" fontId="15" fillId="0" borderId="35" xfId="0" applyNumberFormat="1" applyFont="1" applyFill="1" applyBorder="1" applyAlignment="1">
      <x:alignment vertical="top" wrapText="1"/>
    </x:xf>
    <x:xf numFmtId="203" fontId="15" fillId="0" borderId="35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 applyAlignment="1">
      <x:alignment horizontal="center"/>
    </x:xf>
    <x:xf numFmtId="0" fontId="13" fillId="13" borderId="50" xfId="0" applyNumberFormat="1" applyFont="1" applyFill="1" applyBorder="1" applyAlignment="1">
      <x:alignment vertical="center" wrapText="1"/>
    </x:xf>
    <x:xf numFmtId="0" fontId="13" fillId="13" borderId="51" xfId="0" applyNumberFormat="1" applyFont="1" applyFill="1" applyBorder="1" applyAlignment="1">
      <x:alignment vertical="center" wrapText="1"/>
    </x:xf>
    <x:xf numFmtId="0" fontId="13" fillId="13" borderId="52" xfId="0" applyNumberFormat="1" applyFont="1" applyFill="1" applyBorder="1" applyAlignment="1">
      <x:alignment vertical="center" wrapText="1"/>
    </x:xf>
    <x:xf numFmtId="0" fontId="13" fillId="10" borderId="0" xfId="0" applyNumberFormat="1" applyFont="1" applyFill="1" applyBorder="1" applyAlignment="1">
      <x:alignment vertical="center"/>
    </x:xf>
    <x:xf numFmtId="0" fontId="16" fillId="2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11"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92400E"/>
      </x:font>
      <x:fill>
        <x:patternFill patternType="solid">
          <x:bgColor rgb="FFFFFBEB"/>
        </x:patternFill>
      </x:fill>
    </x:dxf>
    <x:dxf>
      <x:font>
        <x:b/>
        <x:color rgb="FF7C3AED"/>
      </x:font>
      <x:fill>
        <x:patternFill patternType="solid">
          <x:bgColor rgb="FFF5F3FF"/>
        </x:patternFill>
      </x:fill>
    </x:dxf>
    <x:dxf>
      <x:font>
        <x:b/>
        <x:color rgb="FF16A34A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92400E"/>
      </x:font>
      <x:fill>
        <x:patternFill patternType="solid">
          <x:bgColor rgb="FFFFFBEB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6A34A"/>
      </x:font>
      <x:fill>
        <x:patternFill patternType="solid">
          <x:bgColor rgb="FFF0FDF4"/>
        </x:patternFill>
      </x:fill>
    </x:dxf>
    <x:dxf>
      <x:font>
        <x:b/>
        <x:color rgb="FFDC2626"/>
      </x:font>
      <x:fill>
        <x:patternFill patternType="solid">
          <x:bgColor rgb="FFFEF2F2"/>
        </x:patternFill>
      </x:fill>
    </x:dxf>
    <x:dxf>
      <x:font>
        <x:b/>
        <x:color rgb="FF16A34A"/>
      </x:font>
      <x:fill>
        <x:patternFill patternType="solid">
          <x:bgColor rgb="FFF0FD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b55b5031494516" /><Relationship Type="http://schemas.openxmlformats.org/officeDocument/2006/relationships/theme" Target="/xl/theme/theme1.xml" Id="Rf44136c8fbf64df4" /><Relationship Type="http://schemas.openxmlformats.org/officeDocument/2006/relationships/sharedStrings" Target="/xl/sharedStrings.xml" Id="R667732bd44b74dee" /><Relationship Type="http://schemas.openxmlformats.org/officeDocument/2006/relationships/worksheet" Target="/xl/worksheets/sheet1.xml" Id="Rb23b9c0a704c4f9b" /><Relationship Type="http://schemas.openxmlformats.org/officeDocument/2006/relationships/worksheet" Target="/xl/worksheets/sheet2.xml" Id="R7934ef012b104e22" /><Relationship Type="http://schemas.openxmlformats.org/officeDocument/2006/relationships/worksheet" Target="/xl/worksheets/sheet3.xml" Id="R71a1b561d2f24c4b" /><Relationship Type="http://schemas.openxmlformats.org/officeDocument/2006/relationships/worksheet" Target="/xl/worksheets/sheet4.xml" Id="R4e3b9f6962024a0e" /><Relationship Type="http://schemas.openxmlformats.org/officeDocument/2006/relationships/worksheet" Target="/xl/worksheets/sheet5.xml" Id="Rfd1df6efd1fa4237" /><Relationship Type="http://schemas.openxmlformats.org/officeDocument/2006/relationships/worksheet" Target="/xl/worksheets/sheet6.xml" Id="R4f05aa6804934f04" /></Relationships>
</file>

<file path=xl/tables/table1.xml><?xml version="1.0" encoding="utf-8"?>
<x:table xmlns:x="http://schemas.openxmlformats.org/spreadsheetml/2006/main" id="1" name="HistoriasSprint2" displayName="HistoriasSprint2" ref="A5:M19" headerRowCount="1" totalsRowCount="0" totalsRowShown="0">
  <x:tableColumns count="13">
    <x:tableColumn id="1" name="HU"/>
    <x:tableColumn id="2" name="Épica"/>
    <x:tableColumn id="3" name="Historia de usuario"/>
    <x:tableColumn id="4" name="Resultado / valor"/>
    <x:tableColumn id="5" name="Prioridad"/>
    <x:tableColumn id="6" name="Story points"/>
    <x:tableColumn id="7" name="Compromiso"/>
    <x:tableColumn id="8" name="Responsable líder"/>
    <x:tableColumn id="9" name="Microservicios / área"/>
    <x:tableColumn id="10" name="Dependencias"/>
    <x:tableColumn id="11" name="Criterios de aceptación"/>
    <x:tableColumn id="12" name="Estado"/>
    <x:tableColumn id="13" name="Evidencia espera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reasSprint2" displayName="TareasSprint2" ref="A5:M84" headerRowCount="1" totalsRowCount="0" totalsRowShown="0">
  <x:tableColumns count="13">
    <x:tableColumn id="1" name="Tarea"/>
    <x:tableColumn id="2" name="HU"/>
    <x:tableColumn id="3" name="Microservicio / área"/>
    <x:tableColumn id="4" name="Trabajo a realizar"/>
    <x:tableColumn id="5" name="Responsable"/>
    <x:tableColumn id="6" name="Día planificado"/>
    <x:tableColumn id="7" name="Fecha"/>
    <x:tableColumn id="8" name="Prioridad"/>
    <x:tableColumn id="9" name="Horas"/>
    <x:tableColumn id="10" name="Dependencia"/>
    <x:tableColumn id="11" name="Entregable / evidencia"/>
    <x:tableColumn id="12" name="Criterio de terminado"/>
    <x:tableColumn id="13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6d4a8b968d427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4bbb244e1544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22" hidden="0" customWidth="1"/>
    <x:col min="4" max="4" width="8" hidden="0" customWidth="1"/>
    <x:col min="5" max="5" width="13" hidden="0" customWidth="1"/>
    <x:col min="6" max="6" width="21" hidden="0" customWidth="1"/>
    <x:col min="7" max="7" width="7" hidden="0" customWidth="1"/>
    <x:col min="8" max="8" width="13" hidden="0" customWidth="1"/>
    <x:col min="9" max="9" width="22" hidden="0" customWidth="1"/>
    <x:col min="10" max="10" width="7" hidden="0" customWidth="1"/>
    <x:col min="11" max="11" width="13" hidden="0" customWidth="1"/>
    <x:col min="12" max="12" width="21" hidden="0" customWidth="1"/>
    <x:col min="13" max="13" width="8" hidden="0" customWidth="1"/>
    <x:col min="14" max="14" width="20" hidden="0" customWidth="1"/>
  </x:cols>
  <x:sheetData>
    <x:row r="1" ht="38" customHeight="1">
      <x:c r="A1" s="321" t="str">
        <x:v>MedicalSys · Sprint 2 — Cierre del MVP integrado</x:v>
      </x:c>
      <x:c r="B1" s="321" t="str">
        <x:v>MedicalSys · Sprint 2 — Cierre del MVP integrado</x:v>
      </x:c>
      <x:c r="C1" s="321" t="str">
        <x:v>MedicalSys · Sprint 2 — Cierre del MVP integrado</x:v>
      </x:c>
      <x:c r="D1" s="321" t="str">
        <x:v>MedicalSys · Sprint 2 — Cierre del MVP integrado</x:v>
      </x:c>
      <x:c r="E1" s="321" t="str">
        <x:v>MedicalSys · Sprint 2 — Cierre del MVP integrado</x:v>
      </x:c>
      <x:c r="F1" s="321" t="str">
        <x:v>MedicalSys · Sprint 2 — Cierre del MVP integrado</x:v>
      </x:c>
      <x:c r="G1" s="321" t="str">
        <x:v>MedicalSys · Sprint 2 — Cierre del MVP integrado</x:v>
      </x:c>
      <x:c r="H1" s="321" t="str">
        <x:v>MedicalSys · Sprint 2 — Cierre del MVP integrado</x:v>
      </x:c>
      <x:c r="I1" s="321" t="str">
        <x:v>MedicalSys · Sprint 2 — Cierre del MVP integrado</x:v>
      </x:c>
      <x:c r="J1" s="321" t="str">
        <x:v>MedicalSys · Sprint 2 — Cierre del MVP integrado</x:v>
      </x:c>
      <x:c r="K1" s="321" t="str">
        <x:v>MedicalSys · Sprint 2 — Cierre del MVP integrado</x:v>
      </x:c>
      <x:c r="L1" s="321" t="str">
        <x:v>MedicalSys · Sprint 2 — Cierre del MVP integrado</x:v>
      </x:c>
      <x:c r="M1" s="321" t="str">
        <x:v>MedicalSys · Sprint 2 — Cierre del MVP integrado</x:v>
      </x:c>
      <x:c r="N1" s="321" t="str">
        <x:v>MedicalSys · Sprint 2 — Cierre del MVP integrado</x:v>
      </x:c>
    </x:row>
    <x:row r="2" ht="38" customHeight="1">
      <x:c r="A2" s="321" t="str">
        <x:v>MedicalSys · Sprint 2 — Cierre del MVP integrado</x:v>
      </x:c>
      <x:c r="B2" s="321" t="str">
        <x:v>MedicalSys · Sprint 2 — Cierre del MVP integrado</x:v>
      </x:c>
      <x:c r="C2" s="321" t="str">
        <x:v>MedicalSys · Sprint 2 — Cierre del MVP integrado</x:v>
      </x:c>
      <x:c r="D2" s="321" t="str">
        <x:v>MedicalSys · Sprint 2 — Cierre del MVP integrado</x:v>
      </x:c>
      <x:c r="E2" s="321" t="str">
        <x:v>MedicalSys · Sprint 2 — Cierre del MVP integrado</x:v>
      </x:c>
      <x:c r="F2" s="321" t="str">
        <x:v>MedicalSys · Sprint 2 — Cierre del MVP integrado</x:v>
      </x:c>
      <x:c r="G2" s="321" t="str">
        <x:v>MedicalSys · Sprint 2 — Cierre del MVP integrado</x:v>
      </x:c>
      <x:c r="H2" s="321" t="str">
        <x:v>MedicalSys · Sprint 2 — Cierre del MVP integrado</x:v>
      </x:c>
      <x:c r="I2" s="321" t="str">
        <x:v>MedicalSys · Sprint 2 — Cierre del MVP integrado</x:v>
      </x:c>
      <x:c r="J2" s="321" t="str">
        <x:v>MedicalSys · Sprint 2 — Cierre del MVP integrado</x:v>
      </x:c>
      <x:c r="K2" s="321" t="str">
        <x:v>MedicalSys · Sprint 2 — Cierre del MVP integrado</x:v>
      </x:c>
      <x:c r="L2" s="321" t="str">
        <x:v>MedicalSys · Sprint 2 — Cierre del MVP integrado</x:v>
      </x:c>
      <x:c r="M2" s="321" t="str">
        <x:v>MedicalSys · Sprint 2 — Cierre del MVP integrado</x:v>
      </x:c>
      <x:c r="N2" s="321" t="str">
        <x:v>MedicalSys · Sprint 2 — Cierre del MVP integrado</x:v>
      </x:c>
    </x:row>
    <x:row r="3" ht="30" customHeight="1">
      <x:c r="A3" s="245" t="str">
        <x:v>Plan de cinco días · 28 de agosto al 1 de septiembre de 2026 · Backend corregido + frontend del flujo MVP + integración + pruebas</x:v>
      </x:c>
      <x:c r="B3" s="245" t="str">
        <x:v>Plan de cinco días · 28 de agosto al 1 de septiembre de 2026 · Backend corregido + frontend del flujo MVP + integración + pruebas</x:v>
      </x:c>
      <x:c r="C3" s="245" t="str">
        <x:v>Plan de cinco días · 28 de agosto al 1 de septiembre de 2026 · Backend corregido + frontend del flujo MVP + integración + pruebas</x:v>
      </x:c>
      <x:c r="D3" s="245" t="str">
        <x:v>Plan de cinco días · 28 de agosto al 1 de septiembre de 2026 · Backend corregido + frontend del flujo MVP + integración + pruebas</x:v>
      </x:c>
      <x:c r="E3" s="245" t="str">
        <x:v>Plan de cinco días · 28 de agosto al 1 de septiembre de 2026 · Backend corregido + frontend del flujo MVP + integración + pruebas</x:v>
      </x:c>
      <x:c r="F3" s="245" t="str">
        <x:v>Plan de cinco días · 28 de agosto al 1 de septiembre de 2026 · Backend corregido + frontend del flujo MVP + integración + pruebas</x:v>
      </x:c>
      <x:c r="G3" s="245" t="str">
        <x:v>Plan de cinco días · 28 de agosto al 1 de septiembre de 2026 · Backend corregido + frontend del flujo MVP + integración + pruebas</x:v>
      </x:c>
      <x:c r="H3" s="245" t="str">
        <x:v>Plan de cinco días · 28 de agosto al 1 de septiembre de 2026 · Backend corregido + frontend del flujo MVP + integración + pruebas</x:v>
      </x:c>
      <x:c r="I3" s="245" t="str">
        <x:v>Plan de cinco días · 28 de agosto al 1 de septiembre de 2026 · Backend corregido + frontend del flujo MVP + integración + pruebas</x:v>
      </x:c>
      <x:c r="J3" s="245" t="str">
        <x:v>Plan de cinco días · 28 de agosto al 1 de septiembre de 2026 · Backend corregido + frontend del flujo MVP + integración + pruebas</x:v>
      </x:c>
      <x:c r="K3" s="245" t="str">
        <x:v>Plan de cinco días · 28 de agosto al 1 de septiembre de 2026 · Backend corregido + frontend del flujo MVP + integración + pruebas</x:v>
      </x:c>
      <x:c r="L3" s="245" t="str">
        <x:v>Plan de cinco días · 28 de agosto al 1 de septiembre de 2026 · Backend corregido + frontend del flujo MVP + integración + pruebas</x:v>
      </x:c>
      <x:c r="M3" s="245" t="str">
        <x:v>Plan de cinco días · 28 de agosto al 1 de septiembre de 2026 · Backend corregido + frontend del flujo MVP + integración + pruebas</x:v>
      </x:c>
      <x:c r="N3" s="245" t="str">
        <x:v>Plan de cinco días · 28 de agosto al 1 de septiembre de 2026 · Backend corregido + frontend del flujo MVP + integración + pruebas</x:v>
      </x:c>
    </x:row>
    <x:row r="4">
      <x:c r="A4" s="246"/>
      <x:c r="B4" s="246"/>
      <x:c r="C4" s="246"/>
      <x:c r="D4" s="246"/>
      <x:c r="E4" s="246"/>
      <x:c r="F4" s="246"/>
      <x:c r="G4" s="246"/>
      <x:c r="H4" s="246"/>
      <x:c r="I4" s="246"/>
      <x:c r="J4" s="246"/>
      <x:c r="K4" s="246"/>
      <x:c r="L4" s="246"/>
      <x:c r="M4" s="246"/>
      <x:c r="N4" s="246"/>
    </x:row>
    <x:row r="5" ht="25" customHeight="1">
      <x:c r="A5" s="247" t="str">
        <x:v>SPRINT GOAL</x:v>
      </x:c>
      <x:c r="B5" s="247" t="str">
        <x:v>SPRINT GOAL</x:v>
      </x:c>
      <x:c r="C5" s="247" t="str">
        <x:v>SPRINT GOAL</x:v>
      </x:c>
      <x:c r="D5" s="247" t="str">
        <x:v>SPRINT GOAL</x:v>
      </x:c>
      <x:c r="E5" s="247" t="str">
        <x:v>SPRINT GOAL</x:v>
      </x:c>
      <x:c r="F5" s="247" t="str">
        <x:v>SPRINT GOAL</x:v>
      </x:c>
      <x:c r="G5" s="247" t="str">
        <x:v>SPRINT GOAL</x:v>
      </x:c>
      <x:c r="H5" s="247" t="str">
        <x:v>SPRINT GOAL</x:v>
      </x:c>
      <x:c r="I5" s="247" t="str">
        <x:v>SPRINT GOAL</x:v>
      </x:c>
      <x:c r="J5" s="247" t="str">
        <x:v>SPRINT GOAL</x:v>
      </x:c>
      <x:c r="K5" s="247" t="str">
        <x:v>SPRINT GOAL</x:v>
      </x:c>
      <x:c r="L5" s="247" t="str">
        <x:v>SPRINT GOAL</x:v>
      </x:c>
      <x:c r="M5" s="247" t="str">
        <x:v>SPRINT GOAL</x:v>
      </x:c>
      <x:c r="N5" s="247" t="str">
        <x:v>SPRINT GOAL</x:v>
      </x:c>
    </x:row>
    <x:row r="6">
      <x:c r="A6" s="248" t="str">
        <x:v>Cerrar las historias del flujo MVP con frontend, backend integrado, pruebas y evidencia reproducible.</x:v>
      </x:c>
      <x:c r="B6" s="249" t="str">
        <x:v>Cerrar las historias del flujo MVP con frontend, backend integrado, pruebas y evidencia reproducible.</x:v>
      </x:c>
      <x:c r="C6" s="249" t="str">
        <x:v>Cerrar las historias del flujo MVP con frontend, backend integrado, pruebas y evidencia reproducible.</x:v>
      </x:c>
      <x:c r="D6" s="249" t="str">
        <x:v>Cerrar las historias del flujo MVP con frontend, backend integrado, pruebas y evidencia reproducible.</x:v>
      </x:c>
      <x:c r="E6" s="249" t="str">
        <x:v>Cerrar las historias del flujo MVP con frontend, backend integrado, pruebas y evidencia reproducible.</x:v>
      </x:c>
      <x:c r="F6" s="249" t="str">
        <x:v>Cerrar las historias del flujo MVP con frontend, backend integrado, pruebas y evidencia reproducible.</x:v>
      </x:c>
      <x:c r="G6" s="249" t="str">
        <x:v>Cerrar las historias del flujo MVP con frontend, backend integrado, pruebas y evidencia reproducible.</x:v>
      </x:c>
      <x:c r="H6" s="249" t="str">
        <x:v>Cerrar las historias del flujo MVP con frontend, backend integrado, pruebas y evidencia reproducible.</x:v>
      </x:c>
      <x:c r="I6" s="249" t="str">
        <x:v>Cerrar las historias del flujo MVP con frontend, backend integrado, pruebas y evidencia reproducible.</x:v>
      </x:c>
      <x:c r="J6" s="249" t="str">
        <x:v>Cerrar las historias del flujo MVP con frontend, backend integrado, pruebas y evidencia reproducible.</x:v>
      </x:c>
      <x:c r="K6" s="249" t="str">
        <x:v>Cerrar las historias del flujo MVP con frontend, backend integrado, pruebas y evidencia reproducible.</x:v>
      </x:c>
      <x:c r="L6" s="249" t="str">
        <x:v>Cerrar las historias del flujo MVP con frontend, backend integrado, pruebas y evidencia reproducible.</x:v>
      </x:c>
      <x:c r="M6" s="249" t="str">
        <x:v>Cerrar las historias del flujo MVP con frontend, backend integrado, pruebas y evidencia reproducible.</x:v>
      </x:c>
      <x:c r="N6" s="250" t="str">
        <x:v>Cerrar las historias del flujo MVP con frontend, backend integrado, pruebas y evidencia reproducible.</x:v>
      </x:c>
    </x:row>
    <x:row r="7">
      <x:c r="A7" s="251" t="str">
        <x:v>Cerrar las historias del flujo MVP con frontend, backend integrado, pruebas y evidencia reproducible.</x:v>
      </x:c>
      <x:c r="B7" s="252" t="str">
        <x:v>Cerrar las historias del flujo MVP con frontend, backend integrado, pruebas y evidencia reproducible.</x:v>
      </x:c>
      <x:c r="C7" s="252" t="str">
        <x:v>Cerrar las historias del flujo MVP con frontend, backend integrado, pruebas y evidencia reproducible.</x:v>
      </x:c>
      <x:c r="D7" s="252" t="str">
        <x:v>Cerrar las historias del flujo MVP con frontend, backend integrado, pruebas y evidencia reproducible.</x:v>
      </x:c>
      <x:c r="E7" s="252" t="str">
        <x:v>Cerrar las historias del flujo MVP con frontend, backend integrado, pruebas y evidencia reproducible.</x:v>
      </x:c>
      <x:c r="F7" s="252" t="str">
        <x:v>Cerrar las historias del flujo MVP con frontend, backend integrado, pruebas y evidencia reproducible.</x:v>
      </x:c>
      <x:c r="G7" s="252" t="str">
        <x:v>Cerrar las historias del flujo MVP con frontend, backend integrado, pruebas y evidencia reproducible.</x:v>
      </x:c>
      <x:c r="H7" s="252" t="str">
        <x:v>Cerrar las historias del flujo MVP con frontend, backend integrado, pruebas y evidencia reproducible.</x:v>
      </x:c>
      <x:c r="I7" s="252" t="str">
        <x:v>Cerrar las historias del flujo MVP con frontend, backend integrado, pruebas y evidencia reproducible.</x:v>
      </x:c>
      <x:c r="J7" s="252" t="str">
        <x:v>Cerrar las historias del flujo MVP con frontend, backend integrado, pruebas y evidencia reproducible.</x:v>
      </x:c>
      <x:c r="K7" s="252" t="str">
        <x:v>Cerrar las historias del flujo MVP con frontend, backend integrado, pruebas y evidencia reproducible.</x:v>
      </x:c>
      <x:c r="L7" s="252" t="str">
        <x:v>Cerrar las historias del flujo MVP con frontend, backend integrado, pruebas y evidencia reproducible.</x:v>
      </x:c>
      <x:c r="M7" s="252" t="str">
        <x:v>Cerrar las historias del flujo MVP con frontend, backend integrado, pruebas y evidencia reproducible.</x:v>
      </x:c>
      <x:c r="N7" s="253" t="str">
        <x:v>Cerrar las historias del flujo MVP con frontend, backend integrado, pruebas y evidencia reproducible.</x:v>
      </x:c>
    </x:row>
    <x:row r="8">
      <x:c r="A8" s="246"/>
      <x:c r="B8" s="246"/>
      <x:c r="C8" s="246"/>
      <x:c r="D8" s="246"/>
      <x:c r="E8" s="246"/>
      <x:c r="F8" s="246"/>
      <x:c r="G8" s="246"/>
      <x:c r="H8" s="246"/>
      <x:c r="I8" s="246"/>
      <x:c r="J8" s="246"/>
      <x:c r="K8" s="246"/>
      <x:c r="L8" s="246"/>
      <x:c r="M8" s="246"/>
      <x:c r="N8" s="246"/>
    </x:row>
    <x:row r="9">
      <x:c r="A9" s="254" t="str">
        <x:v>Historias</x:v>
      </x:c>
      <x:c r="B9" s="254" t="str">
        <x:v>Historias</x:v>
      </x:c>
      <x:c r="C9" s="254" t="str">
        <x:v>Historias</x:v>
      </x:c>
      <x:c r="D9" s="255" t="str">
        <x:v>Story points</x:v>
      </x:c>
      <x:c r="E9" s="255" t="str">
        <x:v>Story points</x:v>
      </x:c>
      <x:c r="F9" s="255" t="str">
        <x:v>Story points</x:v>
      </x:c>
      <x:c r="G9" s="256" t="str">
        <x:v>Tareas</x:v>
      </x:c>
      <x:c r="H9" s="256" t="str">
        <x:v>Tareas</x:v>
      </x:c>
      <x:c r="I9" s="256" t="str">
        <x:v>Tareas</x:v>
      </x:c>
      <x:c r="J9" s="257" t="str">
        <x:v>Tareas P0</x:v>
      </x:c>
      <x:c r="K9" s="257" t="str">
        <x:v>Tareas P0</x:v>
      </x:c>
      <x:c r="L9" s="257" t="str">
        <x:v>Tareas P0</x:v>
      </x:c>
      <x:c r="M9" s="258" t="str">
        <x:v>Avance</x:v>
      </x:c>
      <x:c r="N9" s="258" t="str">
        <x:v>Avance</x:v>
      </x:c>
    </x:row>
    <x:row r="10">
      <x:c r="A10" s="259" t="n">
        <x:f>COUNTA('01_Historias'!$A$6:$A$19)</x:f>
        <x:v>14</x:v>
      </x:c>
      <x:c r="B10" s="260"/>
      <x:c r="C10" s="261"/>
      <x:c r="D10" s="262" t="n">
        <x:f>SUM('01_Historias'!$F$6:$F$19)</x:f>
        <x:v>97</x:v>
      </x:c>
      <x:c r="E10" s="263"/>
      <x:c r="F10" s="264"/>
      <x:c r="G10" s="265" t="n">
        <x:f>COUNTA('02_Tareas'!$A$6:$A$84)</x:f>
        <x:v>79</x:v>
      </x:c>
      <x:c r="H10" s="266"/>
      <x:c r="I10" s="267"/>
      <x:c r="J10" s="268" t="n">
        <x:f>COUNTIF('02_Tareas'!$H$6:$H$84,"P0 — Crítica")</x:f>
        <x:v>59</x:v>
      </x:c>
      <x:c r="K10" s="269"/>
      <x:c r="L10" s="270"/>
      <x:c r="M10" s="271" t="n">
        <x:f>IFERROR(COUNTIF('02_Tareas'!$M$6:$M$84,"Hecho")/COUNTA('02_Tareas'!$A$6:$A$84),0)</x:f>
        <x:v>0</x:v>
      </x:c>
      <x:c r="N10" s="272"/>
    </x:row>
    <x:row r="11">
      <x:c r="A11" s="273"/>
      <x:c r="B11" s="274"/>
      <x:c r="C11" s="275"/>
      <x:c r="D11" s="276"/>
      <x:c r="E11" s="277"/>
      <x:c r="F11" s="278"/>
      <x:c r="G11" s="279"/>
      <x:c r="H11" s="280"/>
      <x:c r="I11" s="281"/>
      <x:c r="J11" s="282"/>
      <x:c r="K11" s="283"/>
      <x:c r="L11" s="284"/>
      <x:c r="M11" s="285"/>
      <x:c r="N11" s="286"/>
    </x:row>
    <x:row r="12">
      <x:c r="A12" s="246"/>
      <x:c r="B12" s="246"/>
      <x:c r="C12" s="246"/>
      <x:c r="D12" s="246"/>
      <x:c r="E12" s="246"/>
      <x:c r="F12" s="246"/>
      <x:c r="G12" s="246"/>
      <x:c r="H12" s="246"/>
      <x:c r="I12" s="246"/>
      <x:c r="J12" s="246"/>
      <x:c r="K12" s="246"/>
      <x:c r="L12" s="246"/>
      <x:c r="M12" s="246"/>
      <x:c r="N12" s="246"/>
    </x:row>
    <x:row r="13" ht="25" customHeight="1">
      <x:c r="A13" s="287" t="str">
        <x:v>ALCANCE INCLUIDO</x:v>
      </x:c>
      <x:c r="B13" s="287" t="str">
        <x:v>ALCANCE INCLUIDO</x:v>
      </x:c>
      <x:c r="C13" s="287" t="str">
        <x:v>ALCANCE INCLUIDO</x:v>
      </x:c>
      <x:c r="D13" s="287" t="str">
        <x:v>ALCANCE INCLUIDO</x:v>
      </x:c>
      <x:c r="E13" s="287" t="str">
        <x:v>ALCANCE INCLUIDO</x:v>
      </x:c>
      <x:c r="F13" s="287" t="str">
        <x:v>ALCANCE INCLUIDO</x:v>
      </x:c>
      <x:c r="G13" s="287" t="str">
        <x:v>ALCANCE INCLUIDO</x:v>
      </x:c>
      <x:c r="H13" s="288" t="str">
        <x:v>FUERA DE ALCANCE / NO CONFUNDIR</x:v>
      </x:c>
      <x:c r="I13" s="288" t="str">
        <x:v>FUERA DE ALCANCE / NO CONFUNDIR</x:v>
      </x:c>
      <x:c r="J13" s="288" t="str">
        <x:v>FUERA DE ALCANCE / NO CONFUNDIR</x:v>
      </x:c>
      <x:c r="K13" s="288" t="str">
        <x:v>FUERA DE ALCANCE / NO CONFUNDIR</x:v>
      </x:c>
      <x:c r="L13" s="288" t="str">
        <x:v>FUERA DE ALCANCE / NO CONFUNDIR</x:v>
      </x:c>
      <x:c r="M13" s="288" t="str">
        <x:v>FUERA DE ALCANCE / NO CONFUNDIR</x:v>
      </x:c>
      <x:c r="N13" s="288" t="str">
        <x:v>FUERA DE ALCANCE / NO CONFUNDIR</x:v>
      </x:c>
    </x:row>
    <x:row r="14">
      <x:c r="A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B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C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D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E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F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G14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H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I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J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K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L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M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N14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</x:row>
    <x:row r="15">
      <x:c r="A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B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C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D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E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F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G15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H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I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J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K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L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M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N15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</x:row>
    <x:row r="16">
      <x:c r="A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B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C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D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E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F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G16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H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I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J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K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L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M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N16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</x:row>
    <x:row r="17">
      <x:c r="A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B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C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D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E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F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G17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H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I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J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K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L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M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N17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</x:row>
    <x:row r="18">
      <x:c r="A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B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C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D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E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F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G18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H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I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J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K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L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M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N18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</x:row>
    <x:row r="19">
      <x:c r="A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B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C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D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E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F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G19" s="289" t="str">
        <x:v>• Frontend del recorrido demostrado: login, paciente, profesional, cita, atención/diagnóstico, orden de estudio, documento, aviso manual y factura demo.
• Reparación de contratos, tenant, JWT, correlation ID y modos remotos que bloquean el recorrido.
• Integración exclusiva por gateway en perfil integrated.
• Pruebas unitarias, integración, contrato y E2E; evidencia repetible.
• Revisión transversal de interacción, interfaz visual y movimiento.</x:v>
      </x:c>
      <x:c r="H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I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J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K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L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M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  <x:c r="N19" s="289" t="str">
        <x:v>• No se construye frontend para cada endpoint administrativo del backend.
• No se implementan microservicios de notificaciones, marketing ni auditoría.
• WhatsApp es un handoff manual: preparar/copiar/abrir, no enviar automáticamente.
• SIN permanece simulado y la factura debe indicar DEMO.
• No es despliegue de producción ni reemplaza controles regulatorios.</x:v>
      </x:c>
    </x:row>
    <x:row r="20">
      <x:c r="A20" s="246"/>
      <x:c r="B20" s="246"/>
      <x:c r="C20" s="246"/>
      <x:c r="D20" s="246"/>
      <x:c r="E20" s="246"/>
      <x:c r="F20" s="246"/>
      <x:c r="G20" s="246"/>
      <x:c r="H20" s="246"/>
      <x:c r="I20" s="246"/>
      <x:c r="J20" s="246"/>
      <x:c r="K20" s="246"/>
      <x:c r="L20" s="246"/>
      <x:c r="M20" s="246"/>
      <x:c r="N20" s="246"/>
    </x:row>
    <x:row r="21" ht="25" customHeight="1">
      <x:c r="A21" s="290" t="str">
        <x:v>ORDEN DE EJECUCIÓN DEL SPRINT</x:v>
      </x:c>
      <x:c r="B21" s="290" t="str">
        <x:v>ORDEN DE EJECUCIÓN DEL SPRINT</x:v>
      </x:c>
      <x:c r="C21" s="290" t="str">
        <x:v>ORDEN DE EJECUCIÓN DEL SPRINT</x:v>
      </x:c>
      <x:c r="D21" s="290" t="str">
        <x:v>ORDEN DE EJECUCIÓN DEL SPRINT</x:v>
      </x:c>
      <x:c r="E21" s="290" t="str">
        <x:v>ORDEN DE EJECUCIÓN DEL SPRINT</x:v>
      </x:c>
      <x:c r="F21" s="290" t="str">
        <x:v>ORDEN DE EJECUCIÓN DEL SPRINT</x:v>
      </x:c>
      <x:c r="G21" s="290" t="str">
        <x:v>ORDEN DE EJECUCIÓN DEL SPRINT</x:v>
      </x:c>
      <x:c r="H21" s="290" t="str">
        <x:v>ORDEN DE EJECUCIÓN DEL SPRINT</x:v>
      </x:c>
      <x:c r="I21" s="290" t="str">
        <x:v>ORDEN DE EJECUCIÓN DEL SPRINT</x:v>
      </x:c>
      <x:c r="J21" s="290" t="str">
        <x:v>ORDEN DE EJECUCIÓN DEL SPRINT</x:v>
      </x:c>
      <x:c r="K21" s="290" t="str">
        <x:v>ORDEN DE EJECUCIÓN DEL SPRINT</x:v>
      </x:c>
      <x:c r="L21" s="290" t="str">
        <x:v>ORDEN DE EJECUCIÓN DEL SPRINT</x:v>
      </x:c>
      <x:c r="M21" s="290" t="str">
        <x:v>ORDEN DE EJECUCIÓN DEL SPRINT</x:v>
      </x:c>
      <x:c r="N21" s="290" t="str">
        <x:v>ORDEN DE EJECUCIÓN DEL SPRINT</x:v>
      </x:c>
    </x:row>
    <x:row r="22">
      <x:c r="A22" s="291" t="str">
        <x:v>1</x:v>
      </x:c>
      <x:c r="B22" s="292" t="str">
        <x:v>Congelar</x:v>
      </x:c>
      <x:c r="C22" s="292" t="str">
        <x:v>Congelar</x:v>
      </x:c>
      <x:c r="D22" s="293" t="str">
        <x:v>Día 1 · Rutas, DTO, errores, roles, tenant y flujo UX antes de conectar pantallas. Checkpoint: contratos + mapa UX.</x:v>
      </x:c>
      <x:c r="E22" s="293" t="str">
        <x:v>Día 1 · Rutas, DTO, errores, roles, tenant y flujo UX antes de conectar pantallas. Checkpoint: contratos + mapa UX.</x:v>
      </x:c>
      <x:c r="F22" s="293" t="str">
        <x:v>Día 1 · Rutas, DTO, errores, roles, tenant y flujo UX antes de conectar pantallas. Checkpoint: contratos + mapa UX.</x:v>
      </x:c>
      <x:c r="G22" s="293" t="str">
        <x:v>Día 1 · Rutas, DTO, errores, roles, tenant y flujo UX antes de conectar pantallas. Checkpoint: contratos + mapa UX.</x:v>
      </x:c>
      <x:c r="H22" s="293" t="str">
        <x:v>Día 1 · Rutas, DTO, errores, roles, tenant y flujo UX antes de conectar pantallas. Checkpoint: contratos + mapa UX.</x:v>
      </x:c>
      <x:c r="I22" s="293" t="str">
        <x:v>Día 1 · Rutas, DTO, errores, roles, tenant y flujo UX antes de conectar pantallas. Checkpoint: contratos + mapa UX.</x:v>
      </x:c>
      <x:c r="J22" s="293" t="str">
        <x:v>Día 1 · Rutas, DTO, errores, roles, tenant y flujo UX antes de conectar pantallas. Checkpoint: contratos + mapa UX.</x:v>
      </x:c>
      <x:c r="K22" s="293" t="str">
        <x:v>Día 1 · Rutas, DTO, errores, roles, tenant y flujo UX antes de conectar pantallas. Checkpoint: contratos + mapa UX.</x:v>
      </x:c>
      <x:c r="L22" s="293" t="str">
        <x:v>Día 1 · Rutas, DTO, errores, roles, tenant y flujo UX antes de conectar pantallas. Checkpoint: contratos + mapa UX.</x:v>
      </x:c>
      <x:c r="M22" s="293" t="str">
        <x:v>Día 1 · Rutas, DTO, errores, roles, tenant y flujo UX antes de conectar pantallas. Checkpoint: contratos + mapa UX.</x:v>
      </x:c>
      <x:c r="N22" s="293" t="str">
        <x:v>Día 1 · Rutas, DTO, errores, roles, tenant y flujo UX antes de conectar pantallas. Checkpoint: contratos + mapa UX.</x:v>
      </x:c>
    </x:row>
    <x:row r="23">
      <x:c r="A23" s="291" t="str">
        <x:v>2</x:v>
      </x:c>
      <x:c r="B23" s="292" t="str">
        <x:v>Corregir P0</x:v>
      </x:c>
      <x:c r="C23" s="292" t="str">
        <x:v>Corregir P0</x:v>
      </x:c>
      <x:c r="D23" s="293" t="str">
        <x:v>Días 1–2 · Tenant demo, seguridad, contratos remotos, gateway y suite de tests. Regla: P0 antes que estética.</x:v>
      </x:c>
      <x:c r="E23" s="293" t="str">
        <x:v>Días 1–2 · Tenant demo, seguridad, contratos remotos, gateway y suite de tests. Regla: P0 antes que estética.</x:v>
      </x:c>
      <x:c r="F23" s="293" t="str">
        <x:v>Días 1–2 · Tenant demo, seguridad, contratos remotos, gateway y suite de tests. Regla: P0 antes que estética.</x:v>
      </x:c>
      <x:c r="G23" s="293" t="str">
        <x:v>Días 1–2 · Tenant demo, seguridad, contratos remotos, gateway y suite de tests. Regla: P0 antes que estética.</x:v>
      </x:c>
      <x:c r="H23" s="293" t="str">
        <x:v>Días 1–2 · Tenant demo, seguridad, contratos remotos, gateway y suite de tests. Regla: P0 antes que estética.</x:v>
      </x:c>
      <x:c r="I23" s="293" t="str">
        <x:v>Días 1–2 · Tenant demo, seguridad, contratos remotos, gateway y suite de tests. Regla: P0 antes que estética.</x:v>
      </x:c>
      <x:c r="J23" s="293" t="str">
        <x:v>Días 1–2 · Tenant demo, seguridad, contratos remotos, gateway y suite de tests. Regla: P0 antes que estética.</x:v>
      </x:c>
      <x:c r="K23" s="293" t="str">
        <x:v>Días 1–2 · Tenant demo, seguridad, contratos remotos, gateway y suite de tests. Regla: P0 antes que estética.</x:v>
      </x:c>
      <x:c r="L23" s="293" t="str">
        <x:v>Días 1–2 · Tenant demo, seguridad, contratos remotos, gateway y suite de tests. Regla: P0 antes que estética.</x:v>
      </x:c>
      <x:c r="M23" s="293" t="str">
        <x:v>Días 1–2 · Tenant demo, seguridad, contratos remotos, gateway y suite de tests. Regla: P0 antes que estética.</x:v>
      </x:c>
      <x:c r="N23" s="293" t="str">
        <x:v>Días 1–2 · Tenant demo, seguridad, contratos remotos, gateway y suite de tests. Regla: P0 antes que estética.</x:v>
      </x:c>
    </x:row>
    <x:row r="24">
      <x:c r="A24" s="291" t="str">
        <x:v>3</x:v>
      </x:c>
      <x:c r="B24" s="292" t="str">
        <x:v>Construir slices</x:v>
      </x:c>
      <x:c r="C24" s="292" t="str">
        <x:v>Construir slices</x:v>
      </x:c>
      <x:c r="D24" s="293" t="str">
        <x:v>Días 2–4 · Cada dueño entrega backend + pantalla de su tramo sobre componentes compartidos. La pantalla debe cerrar una HU.</x:v>
      </x:c>
      <x:c r="E24" s="293" t="str">
        <x:v>Días 2–4 · Cada dueño entrega backend + pantalla de su tramo sobre componentes compartidos. La pantalla debe cerrar una HU.</x:v>
      </x:c>
      <x:c r="F24" s="293" t="str">
        <x:v>Días 2–4 · Cada dueño entrega backend + pantalla de su tramo sobre componentes compartidos. La pantalla debe cerrar una HU.</x:v>
      </x:c>
      <x:c r="G24" s="293" t="str">
        <x:v>Días 2–4 · Cada dueño entrega backend + pantalla de su tramo sobre componentes compartidos. La pantalla debe cerrar una HU.</x:v>
      </x:c>
      <x:c r="H24" s="293" t="str">
        <x:v>Días 2–4 · Cada dueño entrega backend + pantalla de su tramo sobre componentes compartidos. La pantalla debe cerrar una HU.</x:v>
      </x:c>
      <x:c r="I24" s="293" t="str">
        <x:v>Días 2–4 · Cada dueño entrega backend + pantalla de su tramo sobre componentes compartidos. La pantalla debe cerrar una HU.</x:v>
      </x:c>
      <x:c r="J24" s="293" t="str">
        <x:v>Días 2–4 · Cada dueño entrega backend + pantalla de su tramo sobre componentes compartidos. La pantalla debe cerrar una HU.</x:v>
      </x:c>
      <x:c r="K24" s="293" t="str">
        <x:v>Días 2–4 · Cada dueño entrega backend + pantalla de su tramo sobre componentes compartidos. La pantalla debe cerrar una HU.</x:v>
      </x:c>
      <x:c r="L24" s="293" t="str">
        <x:v>Días 2–4 · Cada dueño entrega backend + pantalla de su tramo sobre componentes compartidos. La pantalla debe cerrar una HU.</x:v>
      </x:c>
      <x:c r="M24" s="293" t="str">
        <x:v>Días 2–4 · Cada dueño entrega backend + pantalla de su tramo sobre componentes compartidos. La pantalla debe cerrar una HU.</x:v>
      </x:c>
      <x:c r="N24" s="293" t="str">
        <x:v>Días 2–4 · Cada dueño entrega backend + pantalla de su tramo sobre componentes compartidos. La pantalla debe cerrar una HU.</x:v>
      </x:c>
    </x:row>
    <x:row r="25">
      <x:c r="A25" s="291" t="str">
        <x:v>4</x:v>
      </x:c>
      <x:c r="B25" s="292" t="str">
        <x:v>Integrar</x:v>
      </x:c>
      <x:c r="C25" s="292" t="str">
        <x:v>Integrar</x:v>
      </x:c>
      <x:c r="D25" s="293" t="str">
        <x:v>Días 3–5 · Perfil integrated, solo gateway y sin dobles locales silenciosos. Probar fallos controlados de dependencias.</x:v>
      </x:c>
      <x:c r="E25" s="293" t="str">
        <x:v>Días 3–5 · Perfil integrated, solo gateway y sin dobles locales silenciosos. Probar fallos controlados de dependencias.</x:v>
      </x:c>
      <x:c r="F25" s="293" t="str">
        <x:v>Días 3–5 · Perfil integrated, solo gateway y sin dobles locales silenciosos. Probar fallos controlados de dependencias.</x:v>
      </x:c>
      <x:c r="G25" s="293" t="str">
        <x:v>Días 3–5 · Perfil integrated, solo gateway y sin dobles locales silenciosos. Probar fallos controlados de dependencias.</x:v>
      </x:c>
      <x:c r="H25" s="293" t="str">
        <x:v>Días 3–5 · Perfil integrated, solo gateway y sin dobles locales silenciosos. Probar fallos controlados de dependencias.</x:v>
      </x:c>
      <x:c r="I25" s="293" t="str">
        <x:v>Días 3–5 · Perfil integrated, solo gateway y sin dobles locales silenciosos. Probar fallos controlados de dependencias.</x:v>
      </x:c>
      <x:c r="J25" s="293" t="str">
        <x:v>Días 3–5 · Perfil integrated, solo gateway y sin dobles locales silenciosos. Probar fallos controlados de dependencias.</x:v>
      </x:c>
      <x:c r="K25" s="293" t="str">
        <x:v>Días 3–5 · Perfil integrated, solo gateway y sin dobles locales silenciosos. Probar fallos controlados de dependencias.</x:v>
      </x:c>
      <x:c r="L25" s="293" t="str">
        <x:v>Días 3–5 · Perfil integrated, solo gateway y sin dobles locales silenciosos. Probar fallos controlados de dependencias.</x:v>
      </x:c>
      <x:c r="M25" s="293" t="str">
        <x:v>Días 3–5 · Perfil integrated, solo gateway y sin dobles locales silenciosos. Probar fallos controlados de dependencias.</x:v>
      </x:c>
      <x:c r="N25" s="293" t="str">
        <x:v>Días 3–5 · Perfil integrated, solo gateway y sin dobles locales silenciosos. Probar fallos controlados de dependencias.</x:v>
      </x:c>
    </x:row>
    <x:row r="26">
      <x:c r="A26" s="291" t="str">
        <x:v>5</x:v>
      </x:c>
      <x:c r="B26" s="292" t="str">
        <x:v>Demostrar</x:v>
      </x:c>
      <x:c r="C26" s="292" t="str">
        <x:v>Demostrar</x:v>
      </x:c>
      <x:c r="D26" s="293" t="str">
        <x:v>Día 5 · E2E completo, regresión, evidencia 15/15 y ensayo desde cero. Sin evidencia no está Hecho.</x:v>
      </x:c>
      <x:c r="E26" s="293" t="str">
        <x:v>Día 5 · E2E completo, regresión, evidencia 15/15 y ensayo desde cero. Sin evidencia no está Hecho.</x:v>
      </x:c>
      <x:c r="F26" s="293" t="str">
        <x:v>Día 5 · E2E completo, regresión, evidencia 15/15 y ensayo desde cero. Sin evidencia no está Hecho.</x:v>
      </x:c>
      <x:c r="G26" s="293" t="str">
        <x:v>Día 5 · E2E completo, regresión, evidencia 15/15 y ensayo desde cero. Sin evidencia no está Hecho.</x:v>
      </x:c>
      <x:c r="H26" s="293" t="str">
        <x:v>Día 5 · E2E completo, regresión, evidencia 15/15 y ensayo desde cero. Sin evidencia no está Hecho.</x:v>
      </x:c>
      <x:c r="I26" s="293" t="str">
        <x:v>Día 5 · E2E completo, regresión, evidencia 15/15 y ensayo desde cero. Sin evidencia no está Hecho.</x:v>
      </x:c>
      <x:c r="J26" s="293" t="str">
        <x:v>Día 5 · E2E completo, regresión, evidencia 15/15 y ensayo desde cero. Sin evidencia no está Hecho.</x:v>
      </x:c>
      <x:c r="K26" s="293" t="str">
        <x:v>Día 5 · E2E completo, regresión, evidencia 15/15 y ensayo desde cero. Sin evidencia no está Hecho.</x:v>
      </x:c>
      <x:c r="L26" s="293" t="str">
        <x:v>Día 5 · E2E completo, regresión, evidencia 15/15 y ensayo desde cero. Sin evidencia no está Hecho.</x:v>
      </x:c>
      <x:c r="M26" s="293" t="str">
        <x:v>Día 5 · E2E completo, regresión, evidencia 15/15 y ensayo desde cero. Sin evidencia no está Hecho.</x:v>
      </x:c>
      <x:c r="N26" s="293" t="str">
        <x:v>Día 5 · E2E completo, regresión, evidencia 15/15 y ensayo desde cero. Sin evidencia no está Hecho.</x:v>
      </x:c>
    </x:row>
    <x:row r="27">
      <x:c r="A27" s="246"/>
      <x:c r="B27" s="246"/>
      <x:c r="C27" s="246"/>
      <x:c r="D27" s="246"/>
      <x:c r="E27" s="246"/>
      <x:c r="F27" s="246"/>
      <x:c r="G27" s="246"/>
      <x:c r="H27" s="246"/>
      <x:c r="I27" s="246"/>
      <x:c r="J27" s="246"/>
      <x:c r="K27" s="246"/>
      <x:c r="L27" s="246"/>
      <x:c r="M27" s="246"/>
      <x:c r="N27" s="246"/>
    </x:row>
    <x:row r="28" ht="25" customHeight="1">
      <x:c r="A28" s="247" t="str">
        <x:v>CAPACIDAD VS ESFUERZO DESEADO (NO ES COMPROMISO)</x:v>
      </x:c>
      <x:c r="B28" s="247" t="str">
        <x:v>CAPACIDAD VS ESFUERZO DESEADO (NO ES COMPROMISO)</x:v>
      </x:c>
      <x:c r="C28" s="247" t="str">
        <x:v>CAPACIDAD VS ESFUERZO DESEADO (NO ES COMPROMISO)</x:v>
      </x:c>
      <x:c r="D28" s="247" t="str">
        <x:v>CAPACIDAD VS ESFUERZO DESEADO (NO ES COMPROMISO)</x:v>
      </x:c>
      <x:c r="E28" s="247" t="str">
        <x:v>CAPACIDAD VS ESFUERZO DESEADO (NO ES COMPROMISO)</x:v>
      </x:c>
      <x:c r="F28" s="247" t="str">
        <x:v>CAPACIDAD VS ESFUERZO DESEADO (NO ES COMPROMISO)</x:v>
      </x:c>
      <x:c r="G28" s="246"/>
      <x:c r="H28" s="294" t="str">
        <x:v>LECTURA SCRUM DEL PLAN</x:v>
      </x:c>
      <x:c r="I28" s="294" t="str">
        <x:v>LECTURA SCRUM DEL PLAN</x:v>
      </x:c>
      <x:c r="J28" s="294" t="str">
        <x:v>LECTURA SCRUM DEL PLAN</x:v>
      </x:c>
      <x:c r="K28" s="294" t="str">
        <x:v>LECTURA SCRUM DEL PLAN</x:v>
      </x:c>
      <x:c r="L28" s="294" t="str">
        <x:v>LECTURA SCRUM DEL PLAN</x:v>
      </x:c>
      <x:c r="M28" s="294" t="str">
        <x:v>LECTURA SCRUM DEL PLAN</x:v>
      </x:c>
      <x:c r="N28" s="294" t="str">
        <x:v>LECTURA SCRUM DEL PLAN</x:v>
      </x:c>
    </x:row>
    <x:row r="29" ht="32" customHeight="1">
      <x:c r="A29" s="295" t="str">
        <x:v>Responsable</x:v>
      </x:c>
      <x:c r="B29" s="295" t="str">
        <x:v>Horas disponibles</x:v>
      </x:c>
      <x:c r="C29" s="295" t="str">
        <x:v>Horas del alcance</x:v>
      </x:c>
      <x:c r="D29" s="295" t="str">
        <x:v>Utilización</x:v>
      </x:c>
      <x:c r="E29" s="295" t="str">
        <x:v>Microservicios</x:v>
      </x:c>
      <x:c r="F29" s="295" t="str">
        <x:v>Rol transversal</x:v>
      </x:c>
      <x:c r="G29" s="246"/>
      <x:c r="H29" s="296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I29" s="297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J29" s="297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K29" s="297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L29" s="297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M29" s="297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N29" s="298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</x:row>
    <x:row r="30">
      <x:c r="A30" s="299" t="str">
        <x:v>Juanjo</x:v>
      </x:c>
      <x:c r="B30" s="300" t="n">
        <x:v>40</x:v>
      </x:c>
      <x:c r="C30" s="300" t="n">
        <x:f>SUMIF('02_Tareas'!$E$6:$E$84,A30,'02_Tareas'!$I$6:$I$84)</x:f>
        <x:v>42</x:v>
      </x:c>
      <x:c r="D30" s="301" t="n">
        <x:f>IFERROR(C30/B30,0)</x:f>
        <x:v>1.05</x:v>
      </x:c>
      <x:c r="E30" s="299" t="str">
        <x:v>ms-criptografia, ms-catalogos</x:v>
      </x:c>
      <x:c r="F30" s="299" t="str">
        <x:v>—</x:v>
      </x:c>
      <x:c r="G30" s="246"/>
      <x:c r="H30" s="302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I30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J30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K30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L30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M30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N30" s="304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</x:row>
    <x:row r="31">
      <x:c r="A31" s="299" t="str">
        <x:v>Franco</x:v>
      </x:c>
      <x:c r="B31" s="300" t="n">
        <x:v>40</x:v>
      </x:c>
      <x:c r="C31" s="300" t="n">
        <x:f>SUMIF('02_Tareas'!$E$6:$E$84,A31,'02_Tareas'!$I$6:$I$84)</x:f>
        <x:v>94</x:v>
      </x:c>
      <x:c r="D31" s="301" t="n">
        <x:f>IFERROR(C31/B31,0)</x:f>
        <x:v>2.35</x:v>
      </x:c>
      <x:c r="E31" s="299" t="str">
        <x:v>ms-historial, ms-tenencia, ms-facturacion</x:v>
      </x:c>
      <x:c r="F31" s="299" t="str">
        <x:v>Tech Lead + Interaction</x:v>
      </x:c>
      <x:c r="G31" s="246"/>
      <x:c r="H31" s="302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I31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J31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K31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L31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M31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N31" s="304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</x:row>
    <x:row r="32">
      <x:c r="A32" s="299" t="str">
        <x:v>Álvaro</x:v>
      </x:c>
      <x:c r="B32" s="300" t="n">
        <x:v>40</x:v>
      </x:c>
      <x:c r="C32" s="300" t="n">
        <x:f>SUMIF('02_Tareas'!$E$6:$E$84,A32,'02_Tareas'!$I$6:$I$84)</x:f>
        <x:v>71</x:v>
      </x:c>
      <x:c r="D32" s="301" t="n">
        <x:f>IFERROR(C32/B32,0)</x:f>
        <x:v>1.775</x:v>
      </x:c>
      <x:c r="E32" s="299" t="str">
        <x:v>ms-agenda, ms-identidad</x:v>
      </x:c>
      <x:c r="F32" s="299" t="str">
        <x:v>Motion Designer</x:v>
      </x:c>
      <x:c r="G32" s="246"/>
      <x:c r="H32" s="302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I32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J32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K32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L32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M32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N32" s="304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</x:row>
    <x:row r="33">
      <x:c r="A33" s="299" t="str">
        <x:v>Nicole</x:v>
      </x:c>
      <x:c r="B33" s="300" t="n">
        <x:v>40</x:v>
      </x:c>
      <x:c r="C33" s="300" t="n">
        <x:f>SUMIF('02_Tareas'!$E$6:$E$84,A33,'02_Tareas'!$I$6:$I$84)</x:f>
        <x:v>122</x:v>
      </x:c>
      <x:c r="D33" s="301" t="n">
        <x:f>IFERROR(C33/B33,0)</x:f>
        <x:v>3.05</x:v>
      </x:c>
      <x:c r="E33" s="299" t="str">
        <x:v>ms-pacientes, ms-documental, ms-gateway</x:v>
      </x:c>
      <x:c r="F33" s="299" t="str">
        <x:v>Visual Designer + Integración</x:v>
      </x:c>
      <x:c r="G33" s="246"/>
      <x:c r="H33" s="302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I33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J33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K33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L33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M33" s="303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N33" s="304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</x:row>
    <x:row r="34">
      <x:c r="A34" s="299" t="str">
        <x:v>Jhon</x:v>
      </x:c>
      <x:c r="B34" s="300" t="n">
        <x:v>40</x:v>
      </x:c>
      <x:c r="C34" s="300" t="n">
        <x:f>SUMIF('02_Tareas'!$E$6:$E$84,A34,'02_Tareas'!$I$6:$I$84)</x:f>
        <x:v>59</x:v>
      </x:c>
      <x:c r="D34" s="301" t="n">
        <x:f>IFERROR(C34/B34,0)</x:f>
        <x:v>1.475</x:v>
      </x:c>
      <x:c r="E34" s="299" t="str">
        <x:v>ms-profesionales</x:v>
      </x:c>
      <x:c r="F34" s="299" t="str">
        <x:v>Frontend shell + evidencia</x:v>
      </x:c>
      <x:c r="G34" s="246"/>
      <x:c r="H34" s="305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I34" s="306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J34" s="306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K34" s="306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L34" s="306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M34" s="306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  <x:c r="N34" s="307" t="str">
        <x:v>Este sprint es intencionalmente ambicioso y no existe una velocidad histórica confiable para convertir story points en compromiso. La prioridad no es maximizar pantallas: es cerrar un recorrido vertical real.
Regla de recorte: 1) HU-14 operación ampliada, 2) adornos/animaciones no funcionales, 3) pantallas administrativas fuera del flujo. No se recortan tenant, JWT, contratos, pruebas del recorrido ni la evidencia.
El Tech Lead revisa carga y bloqueos al inicio y al cierre de cada día.</x:v>
      </x:c>
    </x:row>
    <x:row r="35">
      <x:c r="A35" s="246"/>
      <x:c r="B35" s="246"/>
      <x:c r="C35" s="246"/>
      <x:c r="D35" s="246"/>
      <x:c r="E35" s="246"/>
      <x:c r="F35" s="246"/>
      <x:c r="G35" s="246"/>
      <x:c r="H35" s="246"/>
      <x:c r="I35" s="246"/>
      <x:c r="J35" s="246"/>
      <x:c r="K35" s="246"/>
      <x:c r="L35" s="246"/>
      <x:c r="M35" s="246"/>
      <x:c r="N35" s="246"/>
    </x:row>
    <x:row r="36">
      <x:c r="A36" s="308" t="str">
        <x:v>Nota de calendario: se usan cinco días consecutivos reales: vie 28, sáb 29, dom 30, lun 31 de agosto y mar 1 de septiembre de 2026. El 1 de septiembre no cae lunes y el 2 de septiembre cae miércoles.</x:v>
      </x:c>
      <x:c r="B36" s="309" t="str">
        <x:v>Nota de calendario: se usan cinco días consecutivos reales: vie 28, sáb 29, dom 30, lun 31 de agosto y mar 1 de septiembre de 2026. El 1 de septiembre no cae lunes y el 2 de septiembre cae miércoles.</x:v>
      </x:c>
      <x:c r="C36" s="309" t="str">
        <x:v>Nota de calendario: se usan cinco días consecutivos reales: vie 28, sáb 29, dom 30, lun 31 de agosto y mar 1 de septiembre de 2026. El 1 de septiembre no cae lunes y el 2 de septiembre cae miércoles.</x:v>
      </x:c>
      <x:c r="D36" s="309" t="str">
        <x:v>Nota de calendario: se usan cinco días consecutivos reales: vie 28, sáb 29, dom 30, lun 31 de agosto y mar 1 de septiembre de 2026. El 1 de septiembre no cae lunes y el 2 de septiembre cae miércoles.</x:v>
      </x:c>
      <x:c r="E36" s="309" t="str">
        <x:v>Nota de calendario: se usan cinco días consecutivos reales: vie 28, sáb 29, dom 30, lun 31 de agosto y mar 1 de septiembre de 2026. El 1 de septiembre no cae lunes y el 2 de septiembre cae miércoles.</x:v>
      </x:c>
      <x:c r="F36" s="309" t="str">
        <x:v>Nota de calendario: se usan cinco días consecutivos reales: vie 28, sáb 29, dom 30, lun 31 de agosto y mar 1 de septiembre de 2026. El 1 de septiembre no cae lunes y el 2 de septiembre cae miércoles.</x:v>
      </x:c>
      <x:c r="G36" s="309" t="str">
        <x:v>Nota de calendario: se usan cinco días consecutivos reales: vie 28, sáb 29, dom 30, lun 31 de agosto y mar 1 de septiembre de 2026. El 1 de septiembre no cae lunes y el 2 de septiembre cae miércoles.</x:v>
      </x:c>
      <x:c r="H36" s="309" t="str">
        <x:v>Nota de calendario: se usan cinco días consecutivos reales: vie 28, sáb 29, dom 30, lun 31 de agosto y mar 1 de septiembre de 2026. El 1 de septiembre no cae lunes y el 2 de septiembre cae miércoles.</x:v>
      </x:c>
      <x:c r="I36" s="309" t="str">
        <x:v>Nota de calendario: se usan cinco días consecutivos reales: vie 28, sáb 29, dom 30, lun 31 de agosto y mar 1 de septiembre de 2026. El 1 de septiembre no cae lunes y el 2 de septiembre cae miércoles.</x:v>
      </x:c>
      <x:c r="J36" s="309" t="str">
        <x:v>Nota de calendario: se usan cinco días consecutivos reales: vie 28, sáb 29, dom 30, lun 31 de agosto y mar 1 de septiembre de 2026. El 1 de septiembre no cae lunes y el 2 de septiembre cae miércoles.</x:v>
      </x:c>
      <x:c r="K36" s="309" t="str">
        <x:v>Nota de calendario: se usan cinco días consecutivos reales: vie 28, sáb 29, dom 30, lun 31 de agosto y mar 1 de septiembre de 2026. El 1 de septiembre no cae lunes y el 2 de septiembre cae miércoles.</x:v>
      </x:c>
      <x:c r="L36" s="309" t="str">
        <x:v>Nota de calendario: se usan cinco días consecutivos reales: vie 28, sáb 29, dom 30, lun 31 de agosto y mar 1 de septiembre de 2026. El 1 de septiembre no cae lunes y el 2 de septiembre cae miércoles.</x:v>
      </x:c>
      <x:c r="M36" s="309" t="str">
        <x:v>Nota de calendario: se usan cinco días consecutivos reales: vie 28, sáb 29, dom 30, lun 31 de agosto y mar 1 de septiembre de 2026. El 1 de septiembre no cae lunes y el 2 de septiembre cae miércoles.</x:v>
      </x:c>
      <x:c r="N36" s="310" t="str">
        <x:v>Nota de calendario: se usan cinco días consecutivos reales: vie 28, sáb 29, dom 30, lun 31 de agosto y mar 1 de septiembre de 2026. El 1 de septiembre no cae lunes y el 2 de septiembre cae miércoles.</x:v>
      </x:c>
    </x:row>
    <x:row r="37">
      <x:c r="A37" s="311" t="str">
        <x:v>Nota de calendario: se usan cinco días consecutivos reales: vie 28, sáb 29, dom 30, lun 31 de agosto y mar 1 de septiembre de 2026. El 1 de septiembre no cae lunes y el 2 de septiembre cae miércoles.</x:v>
      </x:c>
      <x:c r="B37" s="312" t="str">
        <x:v>Nota de calendario: se usan cinco días consecutivos reales: vie 28, sáb 29, dom 30, lun 31 de agosto y mar 1 de septiembre de 2026. El 1 de septiembre no cae lunes y el 2 de septiembre cae miércoles.</x:v>
      </x:c>
      <x:c r="C37" s="312" t="str">
        <x:v>Nota de calendario: se usan cinco días consecutivos reales: vie 28, sáb 29, dom 30, lun 31 de agosto y mar 1 de septiembre de 2026. El 1 de septiembre no cae lunes y el 2 de septiembre cae miércoles.</x:v>
      </x:c>
      <x:c r="D37" s="312" t="str">
        <x:v>Nota de calendario: se usan cinco días consecutivos reales: vie 28, sáb 29, dom 30, lun 31 de agosto y mar 1 de septiembre de 2026. El 1 de septiembre no cae lunes y el 2 de septiembre cae miércoles.</x:v>
      </x:c>
      <x:c r="E37" s="312" t="str">
        <x:v>Nota de calendario: se usan cinco días consecutivos reales: vie 28, sáb 29, dom 30, lun 31 de agosto y mar 1 de septiembre de 2026. El 1 de septiembre no cae lunes y el 2 de septiembre cae miércoles.</x:v>
      </x:c>
      <x:c r="F37" s="312" t="str">
        <x:v>Nota de calendario: se usan cinco días consecutivos reales: vie 28, sáb 29, dom 30, lun 31 de agosto y mar 1 de septiembre de 2026. El 1 de septiembre no cae lunes y el 2 de septiembre cae miércoles.</x:v>
      </x:c>
      <x:c r="G37" s="312" t="str">
        <x:v>Nota de calendario: se usan cinco días consecutivos reales: vie 28, sáb 29, dom 30, lun 31 de agosto y mar 1 de septiembre de 2026. El 1 de septiembre no cae lunes y el 2 de septiembre cae miércoles.</x:v>
      </x:c>
      <x:c r="H37" s="312" t="str">
        <x:v>Nota de calendario: se usan cinco días consecutivos reales: vie 28, sáb 29, dom 30, lun 31 de agosto y mar 1 de septiembre de 2026. El 1 de septiembre no cae lunes y el 2 de septiembre cae miércoles.</x:v>
      </x:c>
      <x:c r="I37" s="312" t="str">
        <x:v>Nota de calendario: se usan cinco días consecutivos reales: vie 28, sáb 29, dom 30, lun 31 de agosto y mar 1 de septiembre de 2026. El 1 de septiembre no cae lunes y el 2 de septiembre cae miércoles.</x:v>
      </x:c>
      <x:c r="J37" s="312" t="str">
        <x:v>Nota de calendario: se usan cinco días consecutivos reales: vie 28, sáb 29, dom 30, lun 31 de agosto y mar 1 de septiembre de 2026. El 1 de septiembre no cae lunes y el 2 de septiembre cae miércoles.</x:v>
      </x:c>
      <x:c r="K37" s="312" t="str">
        <x:v>Nota de calendario: se usan cinco días consecutivos reales: vie 28, sáb 29, dom 30, lun 31 de agosto y mar 1 de septiembre de 2026. El 1 de septiembre no cae lunes y el 2 de septiembre cae miércoles.</x:v>
      </x:c>
      <x:c r="L37" s="312" t="str">
        <x:v>Nota de calendario: se usan cinco días consecutivos reales: vie 28, sáb 29, dom 30, lun 31 de agosto y mar 1 de septiembre de 2026. El 1 de septiembre no cae lunes y el 2 de septiembre cae miércoles.</x:v>
      </x:c>
      <x:c r="M37" s="312" t="str">
        <x:v>Nota de calendario: se usan cinco días consecutivos reales: vie 28, sáb 29, dom 30, lun 31 de agosto y mar 1 de septiembre de 2026. El 1 de septiembre no cae lunes y el 2 de septiembre cae miércoles.</x:v>
      </x:c>
      <x:c r="N37" s="313" t="str">
        <x:v>Nota de calendario: se usan cinco días consecutivos reales: vie 28, sáb 29, dom 30, lun 31 de agosto y mar 1 de septiembre de 2026. El 1 de septiembre no cae lunes y el 2 de septiembre cae miércoles.</x:v>
      </x:c>
    </x:row>
  </x:sheetData>
  <x:mergeCells>
    <x:mergeCell ref="A1:N2"/>
    <x:mergeCell ref="A3:N3"/>
    <x:mergeCell ref="A5:N5"/>
    <x:mergeCell ref="A6:N7"/>
    <x:mergeCell ref="A9:C9"/>
    <x:mergeCell ref="A10:C11"/>
    <x:mergeCell ref="D9:F9"/>
    <x:mergeCell ref="D10:F11"/>
    <x:mergeCell ref="G9:I9"/>
    <x:mergeCell ref="G10:I11"/>
    <x:mergeCell ref="J9:L9"/>
    <x:mergeCell ref="J10:L11"/>
    <x:mergeCell ref="M9:N9"/>
    <x:mergeCell ref="M10:N11"/>
    <x:mergeCell ref="A13:G13"/>
    <x:mergeCell ref="H13:N13"/>
    <x:mergeCell ref="A14:G19"/>
    <x:mergeCell ref="H14:N19"/>
    <x:mergeCell ref="A21:N21"/>
    <x:mergeCell ref="B22:C22"/>
    <x:mergeCell ref="D22:N22"/>
    <x:mergeCell ref="B23:C23"/>
    <x:mergeCell ref="D23:N23"/>
    <x:mergeCell ref="B24:C24"/>
    <x:mergeCell ref="D24:N24"/>
    <x:mergeCell ref="B25:C25"/>
    <x:mergeCell ref="D25:N25"/>
    <x:mergeCell ref="B26:C26"/>
    <x:mergeCell ref="D26:N26"/>
    <x:mergeCell ref="A28:F28"/>
    <x:mergeCell ref="H28:N28"/>
    <x:mergeCell ref="H29:N34"/>
    <x:mergeCell ref="A36:N37"/>
  </x:mergeCells>
  <x:conditionalFormatting sqref="D30:D34">
    <x:cfRule type="cellIs" dxfId="0" priority="1" operator="greaterThan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30" hidden="0" customWidth="1"/>
    <x:col min="5" max="5" width="14" hidden="0" customWidth="1"/>
    <x:col min="6" max="6" width="11" hidden="0" customWidth="1"/>
    <x:col min="7" max="7" width="16" hidden="0" customWidth="1"/>
    <x:col min="8" max="8" width="15" hidden="0" customWidth="1"/>
    <x:col min="9" max="9" width="34" hidden="0" customWidth="1"/>
    <x:col min="10" max="10" width="25" hidden="0" customWidth="1"/>
    <x:col min="11" max="11" width="52" hidden="0" customWidth="1"/>
    <x:col min="12" max="12" width="14" hidden="0" customWidth="1"/>
    <x:col min="13" max="13" width="32" hidden="0" customWidth="1"/>
  </x:cols>
  <x:sheetData>
    <x:row r="1" ht="38" customHeight="1">
      <x:c r="A1" s="321" t="str">
        <x:v>Historias de usuario del Sprint 2</x:v>
      </x:c>
      <x:c r="B1" s="321" t="str">
        <x:v>Historias de usuario del Sprint 2</x:v>
      </x:c>
      <x:c r="C1" s="321" t="str">
        <x:v>Historias de usuario del Sprint 2</x:v>
      </x:c>
      <x:c r="D1" s="321" t="str">
        <x:v>Historias de usuario del Sprint 2</x:v>
      </x:c>
      <x:c r="E1" s="321" t="str">
        <x:v>Historias de usuario del Sprint 2</x:v>
      </x:c>
      <x:c r="F1" s="321" t="str">
        <x:v>Historias de usuario del Sprint 2</x:v>
      </x:c>
      <x:c r="G1" s="321" t="str">
        <x:v>Historias de usuario del Sprint 2</x:v>
      </x:c>
      <x:c r="H1" s="321" t="str">
        <x:v>Historias de usuario del Sprint 2</x:v>
      </x:c>
      <x:c r="I1" s="321" t="str">
        <x:v>Historias de usuario del Sprint 2</x:v>
      </x:c>
      <x:c r="J1" s="321" t="str">
        <x:v>Historias de usuario del Sprint 2</x:v>
      </x:c>
      <x:c r="K1" s="321" t="str">
        <x:v>Historias de usuario del Sprint 2</x:v>
      </x:c>
      <x:c r="L1" s="321" t="str">
        <x:v>Historias de usuario del Sprint 2</x:v>
      </x:c>
      <x:c r="M1" s="321" t="str">
        <x:v>Historias de usuario del Sprint 2</x:v>
      </x:c>
    </x:row>
    <x:row r="2" ht="38" customHeight="1">
      <x:c r="A2" s="321" t="str">
        <x:v>Historias de usuario del Sprint 2</x:v>
      </x:c>
      <x:c r="B2" s="321" t="str">
        <x:v>Historias de usuario del Sprint 2</x:v>
      </x:c>
      <x:c r="C2" s="321" t="str">
        <x:v>Historias de usuario del Sprint 2</x:v>
      </x:c>
      <x:c r="D2" s="321" t="str">
        <x:v>Historias de usuario del Sprint 2</x:v>
      </x:c>
      <x:c r="E2" s="321" t="str">
        <x:v>Historias de usuario del Sprint 2</x:v>
      </x:c>
      <x:c r="F2" s="321" t="str">
        <x:v>Historias de usuario del Sprint 2</x:v>
      </x:c>
      <x:c r="G2" s="321" t="str">
        <x:v>Historias de usuario del Sprint 2</x:v>
      </x:c>
      <x:c r="H2" s="321" t="str">
        <x:v>Historias de usuario del Sprint 2</x:v>
      </x:c>
      <x:c r="I2" s="321" t="str">
        <x:v>Historias de usuario del Sprint 2</x:v>
      </x:c>
      <x:c r="J2" s="321" t="str">
        <x:v>Historias de usuario del Sprint 2</x:v>
      </x:c>
      <x:c r="K2" s="321" t="str">
        <x:v>Historias de usuario del Sprint 2</x:v>
      </x:c>
      <x:c r="L2" s="321" t="str">
        <x:v>Historias de usuario del Sprint 2</x:v>
      </x:c>
      <x:c r="M2" s="321" t="str">
        <x:v>Historias de usuario del Sprint 2</x:v>
      </x:c>
    </x:row>
    <x:row r="3" ht="30" customHeight="1">
      <x:c r="A3" s="245" t="str">
        <x:v>Las historias obligatorias cierran el flujo MVP; HU-14 es objetivo ampliado y se recorta primero si la capacidad real no alcanza.</x:v>
      </x:c>
      <x:c r="B3" s="245" t="str">
        <x:v>Las historias obligatorias cierran el flujo MVP; HU-14 es objetivo ampliado y se recorta primero si la capacidad real no alcanza.</x:v>
      </x:c>
      <x:c r="C3" s="245" t="str">
        <x:v>Las historias obligatorias cierran el flujo MVP; HU-14 es objetivo ampliado y se recorta primero si la capacidad real no alcanza.</x:v>
      </x:c>
      <x:c r="D3" s="245" t="str">
        <x:v>Las historias obligatorias cierran el flujo MVP; HU-14 es objetivo ampliado y se recorta primero si la capacidad real no alcanza.</x:v>
      </x:c>
      <x:c r="E3" s="245" t="str">
        <x:v>Las historias obligatorias cierran el flujo MVP; HU-14 es objetivo ampliado y se recorta primero si la capacidad real no alcanza.</x:v>
      </x:c>
      <x:c r="F3" s="245" t="str">
        <x:v>Las historias obligatorias cierran el flujo MVP; HU-14 es objetivo ampliado y se recorta primero si la capacidad real no alcanza.</x:v>
      </x:c>
      <x:c r="G3" s="245" t="str">
        <x:v>Las historias obligatorias cierran el flujo MVP; HU-14 es objetivo ampliado y se recorta primero si la capacidad real no alcanza.</x:v>
      </x:c>
      <x:c r="H3" s="245" t="str">
        <x:v>Las historias obligatorias cierran el flujo MVP; HU-14 es objetivo ampliado y se recorta primero si la capacidad real no alcanza.</x:v>
      </x:c>
      <x:c r="I3" s="245" t="str">
        <x:v>Las historias obligatorias cierran el flujo MVP; HU-14 es objetivo ampliado y se recorta primero si la capacidad real no alcanza.</x:v>
      </x:c>
      <x:c r="J3" s="245" t="str">
        <x:v>Las historias obligatorias cierran el flujo MVP; HU-14 es objetivo ampliado y se recorta primero si la capacidad real no alcanza.</x:v>
      </x:c>
      <x:c r="K3" s="245" t="str">
        <x:v>Las historias obligatorias cierran el flujo MVP; HU-14 es objetivo ampliado y se recorta primero si la capacidad real no alcanza.</x:v>
      </x:c>
      <x:c r="L3" s="245" t="str">
        <x:v>Las historias obligatorias cierran el flujo MVP; HU-14 es objetivo ampliado y se recorta primero si la capacidad real no alcanza.</x:v>
      </x:c>
      <x:c r="M3" s="245" t="str">
        <x:v>Las historias obligatorias cierran el flujo MVP; HU-14 es objetivo ampliado y se recorta primero si la capacidad real no alcanza.</x:v>
      </x:c>
    </x:row>
    <x:row r="4">
      <x:c r="A4" s="246"/>
      <x:c r="B4" s="246"/>
      <x:c r="C4" s="246"/>
      <x:c r="D4" s="246"/>
      <x:c r="E4" s="246"/>
      <x:c r="F4" s="246"/>
      <x:c r="G4" s="246"/>
      <x:c r="H4" s="246"/>
      <x:c r="I4" s="246"/>
      <x:c r="J4" s="246"/>
      <x:c r="K4" s="246"/>
      <x:c r="L4" s="246"/>
      <x:c r="M4" s="246"/>
    </x:row>
    <x:row r="5" ht="32" customHeight="1">
      <x:c r="A5" s="295" t="str">
        <x:v>HU</x:v>
      </x:c>
      <x:c r="B5" s="295" t="str">
        <x:v>Épica</x:v>
      </x:c>
      <x:c r="C5" s="295" t="str">
        <x:v>Historia de usuario</x:v>
      </x:c>
      <x:c r="D5" s="295" t="str">
        <x:v>Resultado / valor</x:v>
      </x:c>
      <x:c r="E5" s="295" t="str">
        <x:v>Prioridad</x:v>
      </x:c>
      <x:c r="F5" s="295" t="str">
        <x:v>Story points</x:v>
      </x:c>
      <x:c r="G5" s="295" t="str">
        <x:v>Compromiso</x:v>
      </x:c>
      <x:c r="H5" s="295" t="str">
        <x:v>Responsable líder</x:v>
      </x:c>
      <x:c r="I5" s="295" t="str">
        <x:v>Microservicios / área</x:v>
      </x:c>
      <x:c r="J5" s="295" t="str">
        <x:v>Dependencias</x:v>
      </x:c>
      <x:c r="K5" s="295" t="str">
        <x:v>Criterios de aceptación</x:v>
      </x:c>
      <x:c r="L5" s="295" t="str">
        <x:v>Estado</x:v>
      </x:c>
      <x:c r="M5" s="295" t="str">
        <x:v>Evidencia esperada</x:v>
      </x:c>
    </x:row>
    <x:row r="6" ht="68" customHeight="1">
      <x:c r="A6" s="299" t="str">
        <x:v>HU-01</x:v>
      </x:c>
      <x:c r="B6" s="299" t="str">
        <x:v>Acceso y tenant</x:v>
      </x:c>
      <x:c r="C6" s="299" t="str">
        <x:v>Como integrante de una organización, quiero iniciar sesión y conservar un contexto de tenant válido para acceder únicamente a los datos de mi clínica.</x:v>
      </x:c>
      <x:c r="D6" s="299" t="str">
        <x:v>Acceso seguro y reproducible al flujo MVP.</x:v>
      </x:c>
      <x:c r="E6" s="299" t="str">
        <x:v>P0 — Crítica</x:v>
      </x:c>
      <x:c r="F6" s="314" t="n">
        <x:v>5</x:v>
      </x:c>
      <x:c r="G6" s="299" t="str">
        <x:v>Obligatoria</x:v>
      </x:c>
      <x:c r="H6" s="299" t="str">
        <x:v>Álvaro</x:v>
      </x:c>
      <x:c r="I6" s="299" t="str">
        <x:v>ms-identidad, ms-tenencia, ms-gateway</x:v>
      </x:c>
      <x:c r="J6" s="299" t="str">
        <x:v>UUID demo único; Redis/JTI; JWT</x:v>
      </x:c>
      <x:c r="K6" s="299" t="str">
        <x:v>Login por gateway; token con iss/exp/JTI; logout invalida sesión; un ADMIN de A no opera sobre B.</x:v>
      </x:c>
      <x:c r="L6" s="299" t="str">
        <x:v>Por hacer</x:v>
      </x:c>
      <x:c r="M6" s="299" t="str">
        <x:v>Video/captura de login, pruebas multi-tenant y revocación.</x:v>
      </x:c>
    </x:row>
    <x:row r="7" ht="68" customHeight="1">
      <x:c r="A7" s="299" t="str">
        <x:v>HU-02</x:v>
      </x:c>
      <x:c r="B7" s="299" t="str">
        <x:v>Pacientes</x:v>
      </x:c>
      <x:c r="C7" s="299" t="str">
        <x:v>Como recepcionista, quiero registrar, buscar y consultar pacientes desde el frontend para usarlos en agenda, documentos y facturación.</x:v>
      </x:c>
      <x:c r="D7" s="299" t="str">
        <x:v>Paciente real reutilizable durante todo el recorrido.</x:v>
      </x:c>
      <x:c r="E7" s="299" t="str">
        <x:v>P0 — Crítica</x:v>
      </x:c>
      <x:c r="F7" s="314" t="n">
        <x:v>8</x:v>
      </x:c>
      <x:c r="G7" s="299" t="str">
        <x:v>Obligatoria</x:v>
      </x:c>
      <x:c r="H7" s="299" t="str">
        <x:v>Nicole</x:v>
      </x:c>
      <x:c r="I7" s="299" t="str">
        <x:v>ms-pacientes + frontend</x:v>
      </x:c>
      <x:c r="J7" s="299" t="str">
        <x:v>HU-01; contratos internos</x:v>
      </x:c>
      <x:c r="K7" s="299" t="str">
        <x:v>CRUD mínimo y búsqueda por tenant; validaciones; DTO interno compatible con Agenda y Facturación; errores comunes.</x:v>
      </x:c>
      <x:c r="L7" s="299" t="str">
        <x:v>Por hacer</x:v>
      </x:c>
      <x:c r="M7" s="299" t="str">
        <x:v>Frontend funcional + pruebas de aislamiento y contratos.</x:v>
      </x:c>
    </x:row>
    <x:row r="8" ht="68" customHeight="1">
      <x:c r="A8" s="299" t="str">
        <x:v>HU-03</x:v>
      </x:c>
      <x:c r="B8" s="299" t="str">
        <x:v>Profesionales</x:v>
      </x:c>
      <x:c r="C8" s="299" t="str">
        <x:v>Como recepcionista, quiero registrar y seleccionar profesionales activos de mi organización para asignarlos a citas.</x:v>
      </x:c>
      <x:c r="D8" s="299" t="str">
        <x:v>Profesional válido y tenant-scoped disponible en agenda.</x:v>
      </x:c>
      <x:c r="E8" s="299" t="str">
        <x:v>P0 — Crítica</x:v>
      </x:c>
      <x:c r="F8" s="314" t="n">
        <x:v>5</x:v>
      </x:c>
      <x:c r="G8" s="299" t="str">
        <x:v>Obligatoria</x:v>
      </x:c>
      <x:c r="H8" s="299" t="str">
        <x:v>Jhon</x:v>
      </x:c>
      <x:c r="I8" s="299" t="str">
        <x:v>ms-profesionales + frontend</x:v>
      </x:c>
      <x:c r="J8" s="299" t="str">
        <x:v>HU-01; ms-catalogos</x:v>
      </x:c>
      <x:c r="K8" s="299" t="str">
        <x:v>Listado y alta mínima; seguridad por tenant; especialidad válida; proyección interna mínima para Agenda.</x:v>
      </x:c>
      <x:c r="L8" s="299" t="str">
        <x:v>Por hacer</x:v>
      </x:c>
      <x:c r="M8" s="299" t="str">
        <x:v>Pantalla de profesionales + pruebas de roles/tenant.</x:v>
      </x:c>
    </x:row>
    <x:row r="9" ht="68" customHeight="1">
      <x:c r="A9" s="299" t="str">
        <x:v>HU-04</x:v>
      </x:c>
      <x:c r="B9" s="299" t="str">
        <x:v>Agenda</x:v>
      </x:c>
      <x:c r="C9" s="299" t="str">
        <x:v>Como recepcionista, quiero consultar disponibilidad y agendar una cita para un paciente con un profesional y servicio elegidos.</x:v>
      </x:c>
      <x:c r="D9" s="299" t="str">
        <x:v>Cita válida sin solapamientos y lista para atención.</x:v>
      </x:c>
      <x:c r="E9" s="299" t="str">
        <x:v>P0 — Crítica</x:v>
      </x:c>
      <x:c r="F9" s="314" t="n">
        <x:v>8</x:v>
      </x:c>
      <x:c r="G9" s="299" t="str">
        <x:v>Obligatoria</x:v>
      </x:c>
      <x:c r="H9" s="299" t="str">
        <x:v>Álvaro</x:v>
      </x:c>
      <x:c r="I9" s="299" t="str">
        <x:v>ms-agenda + frontend</x:v>
      </x:c>
      <x:c r="J9" s="299" t="str">
        <x:v>HU-02; HU-03; ms-catalogos</x:v>
      </x:c>
      <x:c r="K9" s="299" t="str">
        <x:v>Ruta v1 congelada; tenant/actor desde JWT; validaciones remotas; conflicto 409; correlation ID propagado.</x:v>
      </x:c>
      <x:c r="L9" s="299" t="str">
        <x:v>Por hacer</x:v>
      </x:c>
      <x:c r="M9" s="299" t="str">
        <x:v>Reserva desde UI y pruebas de solapamiento/integración.</x:v>
      </x:c>
    </x:row>
    <x:row r="10" ht="68" customHeight="1">
      <x:c r="A10" s="299" t="str">
        <x:v>HU-05</x:v>
      </x:c>
      <x:c r="B10" s="299" t="str">
        <x:v>Atención clínica</x:v>
      </x:c>
      <x:c r="C10" s="299" t="str">
        <x:v>Como profesional, quiero abrir una atención, registrar diagnóstico y firmarla para incorporarla al historial médico.</x:v>
      </x:c>
      <x:c r="D10" s="299" t="str">
        <x:v>Registro clínico trazable y protegido.</x:v>
      </x:c>
      <x:c r="E10" s="299" t="str">
        <x:v>P0 — Crítica</x:v>
      </x:c>
      <x:c r="F10" s="314" t="n">
        <x:v>13</x:v>
      </x:c>
      <x:c r="G10" s="299" t="str">
        <x:v>Obligatoria</x:v>
      </x:c>
      <x:c r="H10" s="299" t="str">
        <x:v>Franco</x:v>
      </x:c>
      <x:c r="I10" s="299" t="str">
        <x:v>ms-historial, ms-criptografia, ms-catalogos + frontend</x:v>
      </x:c>
      <x:c r="J10" s="299" t="str">
        <x:v>HU-04; contratos Crypto/Catálogos</x:v>
      </x:c>
      <x:c r="K10" s="299" t="str">
        <x:v>Encuentro ligado a cita/paciente/profesional; diagnóstico de catálogo; cifrado remoto; firma; no persiste texto clínico en claro.</x:v>
      </x:c>
      <x:c r="L10" s="299" t="str">
        <x:v>Por hacer</x:v>
      </x:c>
      <x:c r="M10" s="299" t="str">
        <x:v>Atención completa desde UI + evidencia de cifrado y pruebas.</x:v>
      </x:c>
    </x:row>
    <x:row r="11" ht="68" customHeight="1">
      <x:c r="A11" s="299" t="str">
        <x:v>HU-06</x:v>
      </x:c>
      <x:c r="B11" s="299" t="str">
        <x:v>Orden de estudio</x:v>
      </x:c>
      <x:c r="C11" s="299" t="str">
        <x:v>Como profesional, quiero solicitar un estudio de imagen y, si corresponde, coordinar una cita de seguimiento para continuar el diagnóstico.</x:v>
      </x:c>
      <x:c r="D11" s="299" t="str">
        <x:v>Orden de rayos X visible y vinculada al flujo clínico.</x:v>
      </x:c>
      <x:c r="E11" s="299" t="str">
        <x:v>P0 — Crítica</x:v>
      </x:c>
      <x:c r="F11" s="314" t="n">
        <x:v>8</x:v>
      </x:c>
      <x:c r="G11" s="299" t="str">
        <x:v>Obligatoria</x:v>
      </x:c>
      <x:c r="H11" s="299" t="str">
        <x:v>Franco</x:v>
      </x:c>
      <x:c r="I11" s="299" t="str">
        <x:v>ms-historial, ms-catalogos, ms-agenda + frontend</x:v>
      </x:c>
      <x:c r="J11" s="299" t="str">
        <x:v>HU-05; HU-04</x:v>
      </x:c>
      <x:c r="K11" s="299" t="str">
        <x:v>Tipo de estudio válido; orden vinculada al encuentro; estado consultable; cita de imagen creada cuando corresponda.</x:v>
      </x:c>
      <x:c r="L11" s="299" t="str">
        <x:v>Por hacer</x:v>
      </x:c>
      <x:c r="M11" s="299" t="str">
        <x:v>Orden y cita de seguimiento visibles en la aplicación.</x:v>
      </x:c>
    </x:row>
    <x:row r="12" ht="68" customHeight="1">
      <x:c r="A12" s="299" t="str">
        <x:v>HU-07</x:v>
      </x:c>
      <x:c r="B12" s="299" t="str">
        <x:v>Documentos clínicos</x:v>
      </x:c>
      <x:c r="C12" s="299" t="str">
        <x:v>Como recepcionista o técnico, quiero cargar un estudio y asociarlo al paciente y a la orden para que quede disponible en el expediente.</x:v>
      </x:c>
      <x:c r="D12" s="299" t="str">
        <x:v>Archivo íntegro en MinIO y metadata consistente.</x:v>
      </x:c>
      <x:c r="E12" s="299" t="str">
        <x:v>P0 — Crítica</x:v>
      </x:c>
      <x:c r="F12" s="314" t="n">
        <x:v>8</x:v>
      </x:c>
      <x:c r="G12" s="299" t="str">
        <x:v>Obligatoria</x:v>
      </x:c>
      <x:c r="H12" s="299" t="str">
        <x:v>Nicole</x:v>
      </x:c>
      <x:c r="I12" s="299" t="str">
        <x:v>ms-documental, MinIO + frontend</x:v>
      </x:c>
      <x:c r="J12" s="299" t="str">
        <x:v>HU-02; HU-06</x:v>
      </x:c>
      <x:c r="K12" s="299" t="str">
        <x:v>Carga real; SHA-256; disponibilidad solo tras verificar objeto; vínculo a paciente/orden; aislamiento y limpieza de fallos.</x:v>
      </x:c>
      <x:c r="L12" s="299" t="str">
        <x:v>Por hacer</x:v>
      </x:c>
      <x:c r="M12" s="299" t="str">
        <x:v>Carga/consulta desde UI + pruebas de hash y objetos huérfanos.</x:v>
      </x:c>
    </x:row>
    <x:row r="13" ht="68" customHeight="1">
      <x:c r="A13" s="299" t="str">
        <x:v>HU-08</x:v>
      </x:c>
      <x:c r="B13" s="299" t="str">
        <x:v>Entrega manual</x:v>
      </x:c>
      <x:c r="C13" s="299" t="str">
        <x:v>Como recepcionista, quiero preparar el mensaje y acceder al contacto del paciente para enviar manualmente el aviso del examen por WhatsApp.</x:v>
      </x:c>
      <x:c r="D13" s="299" t="str">
        <x:v>Handoff manual demostrable sin construir notificaciones.</x:v>
      </x:c>
      <x:c r="E13" s="299" t="str">
        <x:v>P1 — Alta</x:v>
      </x:c>
      <x:c r="F13" s="314" t="n">
        <x:v>3</x:v>
      </x:c>
      <x:c r="G13" s="299" t="str">
        <x:v>Obligatoria</x:v>
      </x:c>
      <x:c r="H13" s="299" t="str">
        <x:v>Nicole</x:v>
      </x:c>
      <x:c r="I13" s="299" t="str">
        <x:v>frontend, ms-pacientes, ms-documental</x:v>
      </x:c>
      <x:c r="J13" s="299" t="str">
        <x:v>HU-02; HU-07</x:v>
      </x:c>
      <x:c r="K13" s="299" t="str">
        <x:v>Vista previa; copiar mensaje o abrir enlace de WhatsApp; no existe envío automático ni persistencia engañosa de entrega.</x:v>
      </x:c>
      <x:c r="L13" s="299" t="str">
        <x:v>Por hacer</x:v>
      </x:c>
      <x:c r="M13" s="299" t="str">
        <x:v>Captura del mensaje preparado y confirmación manual.</x:v>
      </x:c>
    </x:row>
    <x:row r="14" ht="68" customHeight="1">
      <x:c r="A14" s="299" t="str">
        <x:v>HU-09</x:v>
      </x:c>
      <x:c r="B14" s="299" t="str">
        <x:v>Facturación demo</x:v>
      </x:c>
      <x:c r="C14" s="299" t="str">
        <x:v>Como recepcionista, quiero generar y consultar una factura demo por el servicio prestado para cerrar administrativamente la atención.</x:v>
      </x:c>
      <x:c r="D14" s="299" t="str">
        <x:v>Factura coherente, identificada como simulada.</x:v>
      </x:c>
      <x:c r="E14" s="299" t="str">
        <x:v>P0 — Crítica</x:v>
      </x:c>
      <x:c r="F14" s="314" t="n">
        <x:v>8</x:v>
      </x:c>
      <x:c r="G14" s="299" t="str">
        <x:v>Obligatoria</x:v>
      </x:c>
      <x:c r="H14" s="299" t="str">
        <x:v>Franco</x:v>
      </x:c>
      <x:c r="I14" s="299" t="str">
        <x:v>ms-facturacion + frontend</x:v>
      </x:c>
      <x:c r="J14" s="299" t="str">
        <x:v>HU-02; HU-04; ms-tenencia</x:v>
      </x:c>
      <x:c r="K14" s="299" t="str">
        <x:v>Paciente y tenant remotos; servicio/total/correlativo; idempotencia; leyenda DEMO; sin conexión real al SIN.</x:v>
      </x:c>
      <x:c r="L14" s="299" t="str">
        <x:v>Por hacer</x:v>
      </x:c>
      <x:c r="M14" s="299" t="str">
        <x:v>Factura generada desde UI + pruebas de totales/idempotencia.</x:v>
      </x:c>
    </x:row>
    <x:row r="15" ht="68" customHeight="1">
      <x:c r="A15" s="299" t="str">
        <x:v>HU-10</x:v>
      </x:c>
      <x:c r="B15" s="299" t="str">
        <x:v>Gateway e integración</x:v>
      </x:c>
      <x:c r="C15" s="299" t="str">
        <x:v>Como usuario del MVP, quiero ejecutar todo el recorrido a través del gateway para no depender de puertos internos ni dobles locales.</x:v>
      </x:c>
      <x:c r="D15" s="299" t="str">
        <x:v>Punto único de entrada y comunicación integrada real.</x:v>
      </x:c>
      <x:c r="E15" s="299" t="str">
        <x:v>P0 — Crítica</x:v>
      </x:c>
      <x:c r="F15" s="314" t="n">
        <x:v>8</x:v>
      </x:c>
      <x:c r="G15" s="299" t="str">
        <x:v>Obligatoria</x:v>
      </x:c>
      <x:c r="H15" s="299" t="str">
        <x:v>Nicole</x:v>
      </x:c>
      <x:c r="I15" s="299" t="str">
        <x:v>ms-gateway, Compose, todos los servicios</x:v>
      </x:c>
      <x:c r="J15" s="299" t="str">
        <x:v>HU-01 a HU-09</x:v>
      </x:c>
      <x:c r="K15" s="299" t="str">
        <x:v>Rutas v1; JWT obligatorio; issuer/JTI; correlation ID; perfil integrated; solo gateway publicado; fallos downstream controlados.</x:v>
      </x:c>
      <x:c r="L15" s="299" t="str">
        <x:v>Por hacer</x:v>
      </x:c>
      <x:c r="M15" s="299" t="str">
        <x:v>Smoke test y recorrido E2E usando únicamente el gateway.</x:v>
      </x:c>
    </x:row>
    <x:row r="16" ht="68" customHeight="1">
      <x:c r="A16" s="299" t="str">
        <x:v>HU-11</x:v>
      </x:c>
      <x:c r="B16" s="299" t="str">
        <x:v>Experiencia frontend</x:v>
      </x:c>
      <x:c r="C16" s="299" t="str">
        <x:v>Como usuario, quiero una interfaz consistente, clara y con transiciones útiles para completar el flujo sin aprender detalles técnicos.</x:v>
      </x:c>
      <x:c r="D16" s="299" t="str">
        <x:v>Frontend presentable y comprensible durante la demo.</x:v>
      </x:c>
      <x:c r="E16" s="299" t="str">
        <x:v>P1 — Alta</x:v>
      </x:c>
      <x:c r="F16" s="314" t="n">
        <x:v>5</x:v>
      </x:c>
      <x:c r="G16" s="299" t="str">
        <x:v>Obligatoria</x:v>
      </x:c>
      <x:c r="H16" s="299" t="str">
        <x:v>Jhon</x:v>
      </x:c>
      <x:c r="I16" s="299" t="str">
        <x:v>frontend transversal</x:v>
      </x:c>
      <x:c r="J16" s="299" t="str">
        <x:v>HU-01 a HU-10</x:v>
      </x:c>
      <x:c r="K16" s="299" t="str">
        <x:v>Flujo aprobado por Interaction Designer; sistema visual aprobado; movimiento con propósito; estados loading/empty/error; navegación por rol.</x:v>
      </x:c>
      <x:c r="L16" s="299" t="str">
        <x:v>Por hacer</x:v>
      </x:c>
      <x:c r="M16" s="299" t="str">
        <x:v>Mapa de flujo, kit visual, guía de movimiento y revisión UX final.</x:v>
      </x:c>
    </x:row>
    <x:row r="17" ht="68" customHeight="1">
      <x:c r="A17" s="299" t="str">
        <x:v>HU-12</x:v>
      </x:c>
      <x:c r="B17" s="299" t="str">
        <x:v>Contratos y errores</x:v>
      </x:c>
      <x:c r="C17" s="299" t="str">
        <x:v>Como equipo, quiero contratos v1 y respuestas de error uniformes para integrar servicios y frontend sin adivinar rutas ni JSON.</x:v>
      </x:c>
      <x:c r="D17" s="299" t="str">
        <x:v>Fuente única de verdad y menos regresiones.</x:v>
      </x:c>
      <x:c r="E17" s="299" t="str">
        <x:v>P0 — Crítica</x:v>
      </x:c>
      <x:c r="F17" s="314" t="n">
        <x:v>5</x:v>
      </x:c>
      <x:c r="G17" s="299" t="str">
        <x:v>Obligatoria</x:v>
      </x:c>
      <x:c r="H17" s="299" t="str">
        <x:v>Juanjo</x:v>
      </x:c>
      <x:c r="I17" s="299" t="str">
        <x:v>docs/contracts + todos los servicios</x:v>
      </x:c>
      <x:c r="J17" s="299" t="str">
        <x:v>Decisiones de rutas y DTO</x:v>
      </x:c>
      <x:c r="K17" s="299" t="str">
        <x:v>Matriz método/ruta/productor/consumidor/rol; OpenAPI por servicio; error de seis campos; X-Correlation-Id único.</x:v>
      </x:c>
      <x:c r="L17" s="299" t="str">
        <x:v>Por hacer</x:v>
      </x:c>
      <x:c r="M17" s="299" t="str">
        <x:v>Contratos versionados y tests de compatibilidad.</x:v>
      </x:c>
    </x:row>
    <x:row r="18" ht="68" customHeight="1">
      <x:c r="A18" s="299" t="str">
        <x:v>HU-13</x:v>
      </x:c>
      <x:c r="B18" s="299" t="str">
        <x:v>Pruebas y evidencia</x:v>
      </x:c>
      <x:c r="C18" s="299" t="str">
        <x:v>Como equipo, quiero pruebas automatizadas y una evidencia reproducible del recorrido para saber que el MVP funciona en conjunto.</x:v>
      </x:c>
      <x:c r="D18" s="299" t="str">
        <x:v>Demo confiable, repetible y verificable.</x:v>
      </x:c>
      <x:c r="E18" s="299" t="str">
        <x:v>P0 — Crítica</x:v>
      </x:c>
      <x:c r="F18" s="314" t="n">
        <x:v>8</x:v>
      </x:c>
      <x:c r="G18" s="299" t="str">
        <x:v>Obligatoria</x:v>
      </x:c>
      <x:c r="H18" s="299" t="str">
        <x:v>Nicole</x:v>
      </x:c>
      <x:c r="I18" s="299" t="str">
        <x:v>tests, CI local, script E2E</x:v>
      </x:c>
      <x:c r="J18" s="299" t="str">
        <x:v>HU-01 a HU-12</x:v>
      </x:c>
      <x:c r="K18" s="299" t="str">
        <x:v>Mockito/JDK reparado; tests no omitidos silenciosamente; script seed→login→flujo→factura; checklist 15/15; evidencias.</x:v>
      </x:c>
      <x:c r="L18" s="299" t="str">
        <x:v>Por hacer</x:v>
      </x:c>
      <x:c r="M18" s="299" t="str">
        <x:v>Reporte de tests, script E2E y carpeta de evidencias.</x:v>
      </x:c>
    </x:row>
    <x:row r="19" ht="68" customHeight="1">
      <x:c r="A19" s="299" t="str">
        <x:v>HU-14</x:v>
      </x:c>
      <x:c r="B19" s="299" t="str">
        <x:v>Operación local</x:v>
      </x:c>
      <x:c r="C19" s="299" t="str">
        <x:v>Como integrante del equipo, quiero levantar y diagnosticar la plataforma con un solo procedimiento para reducir el tiempo perdido antes de la demo.</x:v>
      </x:c>
      <x:c r="D19" s="299" t="str">
        <x:v>Arranque limpio, salud visible y documentación útil.</x:v>
      </x:c>
      <x:c r="E19" s="299" t="str">
        <x:v>P1 — Alta</x:v>
      </x:c>
      <x:c r="F19" s="314" t="n">
        <x:v>5</x:v>
      </x:c>
      <x:c r="G19" s="299" t="str">
        <x:v>Objetivo ampliado</x:v>
      </x:c>
      <x:c r="H19" s="299" t="str">
        <x:v>Nicole</x:v>
      </x:c>
      <x:c r="I19" s="299" t="str">
        <x:v>Compose, Actuator, README</x:v>
      </x:c>
      <x:c r="J19" s="299" t="str">
        <x:v>HU-10; HU-13</x:v>
      </x:c>
      <x:c r="K19" s="299" t="str">
        <x:v>Healthchecks/readiness; imágenes fijadas; logs manejables; README de arranque, smoke y apagado; ensayo desde cero.</x:v>
      </x:c>
      <x:c r="L19" s="299" t="str">
        <x:v>Por hacer</x:v>
      </x:c>
      <x:c r="M19" s="299" t="str">
        <x:v>Runbook probado en otra máquina o instalación limpia.</x:v>
      </x:c>
    </x:row>
  </x:sheetData>
  <x:mergeCells>
    <x:mergeCell ref="A1:M2"/>
    <x:mergeCell ref="A3:M3"/>
  </x:mergeCells>
  <x:conditionalFormatting sqref="E6:E19">
    <x:cfRule type="containsText" dxfId="1" priority="1" operator="containsText" text="P0"/>
    <x:cfRule type="containsText" dxfId="2" priority="2" operator="containsText" text="P1"/>
  </x:conditionalFormatting>
  <x:conditionalFormatting sqref="G6:G19">
    <x:cfRule type="containsText" dxfId="3" priority="3" operator="containsText" text="ampliado"/>
  </x:conditionalFormatting>
  <x:conditionalFormatting sqref="L6:L19">
    <x:cfRule type="containsText" dxfId="4" priority="4" operator="containsText" text="Hecho"/>
  </x:conditionalFormatting>
  <x:dataValidations count="3">
    <x:dataValidation type="list" sqref="E6:E19">
      <x:formula1>"P0 — Crítica,P1 — Alta,P2 — Media"</x:formula1>
    </x:dataValidation>
    <x:dataValidation type="list" sqref="G6:G19">
      <x:formula1>"Obligatoria,Objetivo ampliado"</x:formula1>
    </x:dataValidation>
    <x:dataValidation type="list" sqref="L6:L19">
      <x:formula1>"Por hacer,En curso,Bloqueada,En revisión,Hecho"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6d4a8b968d42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9" hidden="0" customWidth="1"/>
    <x:col min="3" max="3" width="22" hidden="0" customWidth="1"/>
    <x:col min="4" max="4" width="52" hidden="0" customWidth="1"/>
    <x:col min="5" max="5" width="14" hidden="0" customWidth="1"/>
    <x:col min="6" max="6" width="16" hidden="0" customWidth="1"/>
    <x:col min="7" max="7" width="14" hidden="0" customWidth="1"/>
    <x:col min="8" max="8" width="14" hidden="0" customWidth="1"/>
    <x:col min="9" max="9" width="9" hidden="0" customWidth="1"/>
    <x:col min="10" max="10" width="24" hidden="0" customWidth="1"/>
    <x:col min="11" max="11" width="32" hidden="0" customWidth="1"/>
    <x:col min="12" max="12" width="34" hidden="0" customWidth="1"/>
    <x:col min="13" max="13" width="14" hidden="0" customWidth="1"/>
  </x:cols>
  <x:sheetData>
    <x:row r="1" ht="38" customHeight="1">
      <x:c r="A1" s="321" t="str">
        <x:v>Backlog de tareas — ejecución y responsables</x:v>
      </x:c>
      <x:c r="B1" s="321" t="str">
        <x:v>Backlog de tareas — ejecución y responsables</x:v>
      </x:c>
      <x:c r="C1" s="321" t="str">
        <x:v>Backlog de tareas — ejecución y responsables</x:v>
      </x:c>
      <x:c r="D1" s="321" t="str">
        <x:v>Backlog de tareas — ejecución y responsables</x:v>
      </x:c>
      <x:c r="E1" s="321" t="str">
        <x:v>Backlog de tareas — ejecución y responsables</x:v>
      </x:c>
      <x:c r="F1" s="321" t="str">
        <x:v>Backlog de tareas — ejecución y responsables</x:v>
      </x:c>
      <x:c r="G1" s="321" t="str">
        <x:v>Backlog de tareas — ejecución y responsables</x:v>
      </x:c>
      <x:c r="H1" s="321" t="str">
        <x:v>Backlog de tareas — ejecución y responsables</x:v>
      </x:c>
      <x:c r="I1" s="321" t="str">
        <x:v>Backlog de tareas — ejecución y responsables</x:v>
      </x:c>
      <x:c r="J1" s="321" t="str">
        <x:v>Backlog de tareas — ejecución y responsables</x:v>
      </x:c>
      <x:c r="K1" s="321" t="str">
        <x:v>Backlog de tareas — ejecución y responsables</x:v>
      </x:c>
      <x:c r="L1" s="321" t="str">
        <x:v>Backlog de tareas — ejecución y responsables</x:v>
      </x:c>
      <x:c r="M1" s="321" t="str">
        <x:v>Backlog de tareas — ejecución y responsables</x:v>
      </x:c>
    </x:row>
    <x:row r="2" ht="38" customHeight="1">
      <x:c r="A2" s="321" t="str">
        <x:v>Backlog de tareas — ejecución y responsables</x:v>
      </x:c>
      <x:c r="B2" s="321" t="str">
        <x:v>Backlog de tareas — ejecución y responsables</x:v>
      </x:c>
      <x:c r="C2" s="321" t="str">
        <x:v>Backlog de tareas — ejecución y responsables</x:v>
      </x:c>
      <x:c r="D2" s="321" t="str">
        <x:v>Backlog de tareas — ejecución y responsables</x:v>
      </x:c>
      <x:c r="E2" s="321" t="str">
        <x:v>Backlog de tareas — ejecución y responsables</x:v>
      </x:c>
      <x:c r="F2" s="321" t="str">
        <x:v>Backlog de tareas — ejecución y responsables</x:v>
      </x:c>
      <x:c r="G2" s="321" t="str">
        <x:v>Backlog de tareas — ejecución y responsables</x:v>
      </x:c>
      <x:c r="H2" s="321" t="str">
        <x:v>Backlog de tareas — ejecución y responsables</x:v>
      </x:c>
      <x:c r="I2" s="321" t="str">
        <x:v>Backlog de tareas — ejecución y responsables</x:v>
      </x:c>
      <x:c r="J2" s="321" t="str">
        <x:v>Backlog de tareas — ejecución y responsables</x:v>
      </x:c>
      <x:c r="K2" s="321" t="str">
        <x:v>Backlog de tareas — ejecución y responsables</x:v>
      </x:c>
      <x:c r="L2" s="321" t="str">
        <x:v>Backlog de tareas — ejecución y responsables</x:v>
      </x:c>
      <x:c r="M2" s="321" t="str">
        <x:v>Backlog de tareas — ejecución y responsables</x:v>
      </x:c>
    </x:row>
    <x:row r="3" ht="30" customHeight="1">
      <x:c r="A3" s="245" t="str">
        <x:v>Cada tarea está vinculada a una HU, tiene dueño, día, evidencia y criterio de terminado. Actualizar Estado durante el daily.</x:v>
      </x:c>
      <x:c r="B3" s="245" t="str">
        <x:v>Cada tarea está vinculada a una HU, tiene dueño, día, evidencia y criterio de terminado. Actualizar Estado durante el daily.</x:v>
      </x:c>
      <x:c r="C3" s="245" t="str">
        <x:v>Cada tarea está vinculada a una HU, tiene dueño, día, evidencia y criterio de terminado. Actualizar Estado durante el daily.</x:v>
      </x:c>
      <x:c r="D3" s="245" t="str">
        <x:v>Cada tarea está vinculada a una HU, tiene dueño, día, evidencia y criterio de terminado. Actualizar Estado durante el daily.</x:v>
      </x:c>
      <x:c r="E3" s="245" t="str">
        <x:v>Cada tarea está vinculada a una HU, tiene dueño, día, evidencia y criterio de terminado. Actualizar Estado durante el daily.</x:v>
      </x:c>
      <x:c r="F3" s="245" t="str">
        <x:v>Cada tarea está vinculada a una HU, tiene dueño, día, evidencia y criterio de terminado. Actualizar Estado durante el daily.</x:v>
      </x:c>
      <x:c r="G3" s="245" t="str">
        <x:v>Cada tarea está vinculada a una HU, tiene dueño, día, evidencia y criterio de terminado. Actualizar Estado durante el daily.</x:v>
      </x:c>
      <x:c r="H3" s="245" t="str">
        <x:v>Cada tarea está vinculada a una HU, tiene dueño, día, evidencia y criterio de terminado. Actualizar Estado durante el daily.</x:v>
      </x:c>
      <x:c r="I3" s="245" t="str">
        <x:v>Cada tarea está vinculada a una HU, tiene dueño, día, evidencia y criterio de terminado. Actualizar Estado durante el daily.</x:v>
      </x:c>
      <x:c r="J3" s="245" t="str">
        <x:v>Cada tarea está vinculada a una HU, tiene dueño, día, evidencia y criterio de terminado. Actualizar Estado durante el daily.</x:v>
      </x:c>
      <x:c r="K3" s="245" t="str">
        <x:v>Cada tarea está vinculada a una HU, tiene dueño, día, evidencia y criterio de terminado. Actualizar Estado durante el daily.</x:v>
      </x:c>
      <x:c r="L3" s="245" t="str">
        <x:v>Cada tarea está vinculada a una HU, tiene dueño, día, evidencia y criterio de terminado. Actualizar Estado durante el daily.</x:v>
      </x:c>
      <x:c r="M3" s="245" t="str">
        <x:v>Cada tarea está vinculada a una HU, tiene dueño, día, evidencia y criterio de terminado. Actualizar Estado durante el daily.</x:v>
      </x:c>
    </x:row>
    <x:row r="4">
      <x:c r="A4" s="246"/>
      <x:c r="B4" s="246"/>
      <x:c r="C4" s="246"/>
      <x:c r="D4" s="246"/>
      <x:c r="E4" s="246"/>
      <x:c r="F4" s="246"/>
      <x:c r="G4" s="246"/>
      <x:c r="H4" s="246"/>
      <x:c r="I4" s="246"/>
      <x:c r="J4" s="246"/>
      <x:c r="K4" s="246"/>
      <x:c r="L4" s="246"/>
      <x:c r="M4" s="246"/>
    </x:row>
    <x:row r="5" ht="32" customHeight="1">
      <x:c r="A5" s="295" t="str">
        <x:v>Tarea</x:v>
      </x:c>
      <x:c r="B5" s="295" t="str">
        <x:v>HU</x:v>
      </x:c>
      <x:c r="C5" s="295" t="str">
        <x:v>Microservicio / área</x:v>
      </x:c>
      <x:c r="D5" s="295" t="str">
        <x:v>Trabajo a realizar</x:v>
      </x:c>
      <x:c r="E5" s="295" t="str">
        <x:v>Responsable</x:v>
      </x:c>
      <x:c r="F5" s="295" t="str">
        <x:v>Día planificado</x:v>
      </x:c>
      <x:c r="G5" s="295" t="str">
        <x:v>Fecha</x:v>
      </x:c>
      <x:c r="H5" s="295" t="str">
        <x:v>Prioridad</x:v>
      </x:c>
      <x:c r="I5" s="295" t="str">
        <x:v>Horas</x:v>
      </x:c>
      <x:c r="J5" s="295" t="str">
        <x:v>Dependencia</x:v>
      </x:c>
      <x:c r="K5" s="295" t="str">
        <x:v>Entregable / evidencia</x:v>
      </x:c>
      <x:c r="L5" s="295" t="str">
        <x:v>Criterio de terminado</x:v>
      </x:c>
      <x:c r="M5" s="295" t="str">
        <x:v>Estado</x:v>
      </x:c>
    </x:row>
    <x:row r="6" ht="60" customHeight="1">
      <x:c r="A6" s="299" t="str">
        <x:v>T-001</x:v>
      </x:c>
      <x:c r="B6" s="299" t="str">
        <x:v>HU-01</x:v>
      </x:c>
      <x:c r="C6" s="299" t="str">
        <x:v>ms-identidad</x:v>
      </x:c>
      <x:c r="D6" s="299" t="str">
        <x:v>Unificar el UUID demo mediante variable compartida y eliminar el valor divergente del seeder/configuración.</x:v>
      </x:c>
      <x:c r="E6" s="299" t="str">
        <x:v>Álvaro</x:v>
      </x:c>
      <x:c r="F6" s="299" t="str">
        <x:v>Día 1 — Vie</x:v>
      </x:c>
      <x:c r="G6" s="315" t="n">
        <x:v>46262.5</x:v>
      </x:c>
      <x:c r="H6" s="299" t="str">
        <x:v>P0 — Crítica</x:v>
      </x:c>
      <x:c r="I6" s="300" t="n">
        <x:v>3</x:v>
      </x:c>
      <x:c r="J6" s="299" t="str">
        <x:v>Acordar UUID con Franco</x:v>
      </x:c>
      <x:c r="K6" s="299" t="str">
        <x:v>Token y Tenencia referencian la misma organización</x:v>
      </x:c>
      <x:c r="L6" s="299" t="str">
        <x:v>Prueba automática y login válido</x:v>
      </x:c>
      <x:c r="M6" s="299" t="str">
        <x:v>Por hacer</x:v>
      </x:c>
    </x:row>
    <x:row r="7" ht="60" customHeight="1">
      <x:c r="A7" s="299" t="str">
        <x:v>T-002</x:v>
      </x:c>
      <x:c r="B7" s="299" t="str">
        <x:v>HU-01</x:v>
      </x:c>
      <x:c r="C7" s="299" t="str">
        <x:v>ms-tenencia</x:v>
      </x:c>
      <x:c r="D7" s="299" t="str">
        <x:v>Alinear el tenant demo y añadir comprobación interna de existencia/estado de la organización.</x:v>
      </x:c>
      <x:c r="E7" s="299" t="str">
        <x:v>Franco</x:v>
      </x:c>
      <x:c r="F7" s="299" t="str">
        <x:v>Día 1 — Vie</x:v>
      </x:c>
      <x:c r="G7" s="315" t="n">
        <x:v>46262.5</x:v>
      </x:c>
      <x:c r="H7" s="299" t="str">
        <x:v>P0 — Crítica</x:v>
      </x:c>
      <x:c r="I7" s="300" t="n">
        <x:v>3</x:v>
      </x:c>
      <x:c r="J7" s="299" t="str">
        <x:v>T-001</x:v>
      </x:c>
      <x:c r="K7" s="299" t="str">
        <x:v>Seed y endpoint interno coherentes</x:v>
      </x:c>
      <x:c r="L7" s="299" t="str">
        <x:v>Smoke test confirma organizationId</x:v>
      </x:c>
      <x:c r="M7" s="299" t="str">
        <x:v>Por hacer</x:v>
      </x:c>
    </x:row>
    <x:row r="8" ht="60" customHeight="1">
      <x:c r="A8" s="299" t="str">
        <x:v>T-003</x:v>
      </x:c>
      <x:c r="B8" s="299" t="str">
        <x:v>HU-01</x:v>
      </x:c>
      <x:c r="C8" s="299" t="str">
        <x:v>ms-identidad</x:v>
      </x:c>
      <x:c r="D8" s="299" t="str">
        <x:v>Aplicar aislamiento por tenant en altas, búsquedas, edición y asignación de roles.</x:v>
      </x:c>
      <x:c r="E8" s="299" t="str">
        <x:v>Álvaro</x:v>
      </x:c>
      <x:c r="F8" s="299" t="str">
        <x:v>Día 1 — Vie</x:v>
      </x:c>
      <x:c r="G8" s="315" t="n">
        <x:v>46262.5</x:v>
      </x:c>
      <x:c r="H8" s="299" t="str">
        <x:v>P0 — Crítica</x:v>
      </x:c>
      <x:c r="I8" s="300" t="n">
        <x:v>6</x:v>
      </x:c>
      <x:c r="J8" s="299" t="str">
        <x:v>Claims JWT</x:v>
      </x:c>
      <x:c r="K8" s="299" t="str">
        <x:v>Casos A→A permitidos y A→B rechazados</x:v>
      </x:c>
      <x:c r="L8" s="299" t="str">
        <x:v>Tests 403/404 entre tenants</x:v>
      </x:c>
      <x:c r="M8" s="299" t="str">
        <x:v>Por hacer</x:v>
      </x:c>
    </x:row>
    <x:row r="9" ht="60" customHeight="1">
      <x:c r="A9" s="299" t="str">
        <x:v>T-004</x:v>
      </x:c>
      <x:c r="B9" s="299" t="str">
        <x:v>HU-01</x:v>
      </x:c>
      <x:c r="C9" s="299" t="str">
        <x:v>ms-identidad</x:v>
      </x:c>
      <x:c r="D9" s="299" t="str">
        <x:v>Exponer y documentar una estrategia de sesión revocable basada en JTI/Redis para el gateway.</x:v>
      </x:c>
      <x:c r="E9" s="299" t="str">
        <x:v>Álvaro</x:v>
      </x:c>
      <x:c r="F9" s="299" t="str">
        <x:v>Día 2 — Sáb</x:v>
      </x:c>
      <x:c r="G9" s="315" t="n">
        <x:v>46263.5</x:v>
      </x:c>
      <x:c r="H9" s="299" t="str">
        <x:v>P0 — Crítica</x:v>
      </x:c>
      <x:c r="I9" s="300" t="n">
        <x:v>5</x:v>
      </x:c>
      <x:c r="J9" s="299" t="str">
        <x:v>Redis disponible</x:v>
      </x:c>
      <x:c r="K9" s="299" t="str">
        <x:v>Contrato de validación/introspección</x:v>
      </x:c>
      <x:c r="L9" s="299" t="str">
        <x:v>Logout invalida token en prueba integrada</x:v>
      </x:c>
      <x:c r="M9" s="299" t="str">
        <x:v>Por hacer</x:v>
      </x:c>
    </x:row>
    <x:row r="10" ht="60" customHeight="1">
      <x:c r="A10" s="299" t="str">
        <x:v>T-005</x:v>
      </x:c>
      <x:c r="B10" s="299" t="str">
        <x:v>HU-01</x:v>
      </x:c>
      <x:c r="C10" s="299" t="str">
        <x:v>frontend</x:v>
      </x:c>
      <x:c r="D10" s="299" t="str">
        <x:v>Implementar login, almacenamiento seguro de sesión, cierre de sesión y protección de rutas por rol.</x:v>
      </x:c>
      <x:c r="E10" s="299" t="str">
        <x:v>Álvaro</x:v>
      </x:c>
      <x:c r="F10" s="299" t="str">
        <x:v>Día 2 — Sáb</x:v>
      </x:c>
      <x:c r="G10" s="315" t="n">
        <x:v>46263.5</x:v>
      </x:c>
      <x:c r="H10" s="299" t="str">
        <x:v>P0 — Crítica</x:v>
      </x:c>
      <x:c r="I10" s="300" t="n">
        <x:v>7</x:v>
      </x:c>
      <x:c r="J10" s="299" t="str">
        <x:v>T-004; HU-11</x:v>
      </x:c>
      <x:c r="K10" s="299" t="str">
        <x:v>Pantalla login y rutas protegidas</x:v>
      </x:c>
      <x:c r="L10" s="299" t="str">
        <x:v>Sin token no entra; logout redirige</x:v>
      </x:c>
      <x:c r="M10" s="299" t="str">
        <x:v>Por hacer</x:v>
      </x:c>
    </x:row>
    <x:row r="11" ht="60" customHeight="1">
      <x:c r="A11" s="299" t="str">
        <x:v>T-006</x:v>
      </x:c>
      <x:c r="B11" s="299" t="str">
        <x:v>HU-02</x:v>
      </x:c>
      <x:c r="C11" s="299" t="str">
        <x:v>ms-pacientes</x:v>
      </x:c>
      <x:c r="D11" s="299" t="str">
        <x:v>Agregar organizationId al modelo/consultas y aplicar tenant-scoping en todos los casos de uso.</x:v>
      </x:c>
      <x:c r="E11" s="299" t="str">
        <x:v>Nicole</x:v>
      </x:c>
      <x:c r="F11" s="299" t="str">
        <x:v>Día 1 — Vie</x:v>
      </x:c>
      <x:c r="G11" s="315" t="n">
        <x:v>46262.5</x:v>
      </x:c>
      <x:c r="H11" s="299" t="str">
        <x:v>P0 — Crítica</x:v>
      </x:c>
      <x:c r="I11" s="300" t="n">
        <x:v>6</x:v>
      </x:c>
      <x:c r="J11" s="299" t="str">
        <x:v>HU-01</x:v>
      </x:c>
      <x:c r="K11" s="299" t="str">
        <x:v>Migración y repositorios tenant-scoped</x:v>
      </x:c>
      <x:c r="L11" s="299" t="str">
        <x:v>Tests de paciente homónimo en dos tenants</x:v>
      </x:c>
      <x:c r="M11" s="299" t="str">
        <x:v>Por hacer</x:v>
      </x:c>
    </x:row>
    <x:row r="12" ht="60" customHeight="1">
      <x:c r="A12" s="299" t="str">
        <x:v>T-007</x:v>
      </x:c>
      <x:c r="B12" s="299" t="str">
        <x:v>HU-02</x:v>
      </x:c>
      <x:c r="C12" s="299" t="str">
        <x:v>ms-pacientes</x:v>
      </x:c>
      <x:c r="D12" s="299" t="str">
        <x:v>Congelar las rutas y DTO mínimos internos consumidos por Agenda y Facturación.</x:v>
      </x:c>
      <x:c r="E12" s="299" t="str">
        <x:v>Nicole</x:v>
      </x:c>
      <x:c r="F12" s="299" t="str">
        <x:v>Día 1 — Vie</x:v>
      </x:c>
      <x:c r="G12" s="315" t="n">
        <x:v>46262.5</x:v>
      </x:c>
      <x:c r="H12" s="299" t="str">
        <x:v>P0 — Crítica</x:v>
      </x:c>
      <x:c r="I12" s="300" t="n">
        <x:v>4</x:v>
      </x:c>
      <x:c r="J12" s="299" t="str">
        <x:v>HU-12</x:v>
      </x:c>
      <x:c r="K12" s="299" t="str">
        <x:v>Contrato /internal/v1 versionado</x:v>
      </x:c>
      <x:c r="L12" s="299" t="str">
        <x:v>Tests de contrato verdes</x:v>
      </x:c>
      <x:c r="M12" s="299" t="str">
        <x:v>Por hacer</x:v>
      </x:c>
    </x:row>
    <x:row r="13" ht="60" customHeight="1">
      <x:c r="A13" s="299" t="str">
        <x:v>T-008</x:v>
      </x:c>
      <x:c r="B13" s="299" t="str">
        <x:v>HU-02</x:v>
      </x:c>
      <x:c r="C13" s="299" t="str">
        <x:v>ms-pacientes</x:v>
      </x:c>
      <x:c r="D13" s="299" t="str">
        <x:v>Eliminar filtros/ApiError/handlers duplicados y adoptar el error común con un solo correlation ID.</x:v>
      </x:c>
      <x:c r="E13" s="299" t="str">
        <x:v>Nicole</x:v>
      </x:c>
      <x:c r="F13" s="299" t="str">
        <x:v>Día 2 — Sáb</x:v>
      </x:c>
      <x:c r="G13" s="315" t="n">
        <x:v>46263.5</x:v>
      </x:c>
      <x:c r="H13" s="299" t="str">
        <x:v>P1 — Alta</x:v>
      </x:c>
      <x:c r="I13" s="300" t="n">
        <x:v>4</x:v>
      </x:c>
      <x:c r="J13" s="299" t="str">
        <x:v>HU-12</x:v>
      </x:c>
      <x:c r="K13" s="299" t="str">
        <x:v>Infraestructura web única</x:v>
      </x:c>
      <x:c r="L13" s="299" t="str">
        <x:v>Errores contienen seis campos</x:v>
      </x:c>
      <x:c r="M13" s="299" t="str">
        <x:v>Por hacer</x:v>
      </x:c>
    </x:row>
    <x:row r="14" ht="60" customHeight="1">
      <x:c r="A14" s="299" t="str">
        <x:v>T-009</x:v>
      </x:c>
      <x:c r="B14" s="299" t="str">
        <x:v>HU-02</x:v>
      </x:c>
      <x:c r="C14" s="299" t="str">
        <x:v>frontend</x:v>
      </x:c>
      <x:c r="D14" s="299" t="str">
        <x:v>Crear formulario, búsqueda y ficha resumida de paciente con validaciones y estados de UI.</x:v>
      </x:c>
      <x:c r="E14" s="299" t="str">
        <x:v>Nicole</x:v>
      </x:c>
      <x:c r="F14" s="299" t="str">
        <x:v>Día 2 — Sáb</x:v>
      </x:c>
      <x:c r="G14" s="315" t="n">
        <x:v>46263.5</x:v>
      </x:c>
      <x:c r="H14" s="299" t="str">
        <x:v>P0 — Crítica</x:v>
      </x:c>
      <x:c r="I14" s="300" t="n">
        <x:v>8</x:v>
      </x:c>
      <x:c r="J14" s="299" t="str">
        <x:v>T-006; HU-11</x:v>
      </x:c>
      <x:c r="K14" s="299" t="str">
        <x:v>Pantallas de paciente integradas</x:v>
      </x:c>
      <x:c r="L14" s="299" t="str">
        <x:v>Paciente creado y recuperado por gateway</x:v>
      </x:c>
      <x:c r="M14" s="299" t="str">
        <x:v>Por hacer</x:v>
      </x:c>
    </x:row>
    <x:row r="15" ht="60" customHeight="1">
      <x:c r="A15" s="299" t="str">
        <x:v>T-010</x:v>
      </x:c>
      <x:c r="B15" s="299" t="str">
        <x:v>HU-02</x:v>
      </x:c>
      <x:c r="C15" s="299" t="str">
        <x:v>pruebas</x:v>
      </x:c>
      <x:c r="D15" s="299" t="str">
        <x:v>Cubrir duplicados, complemento documental, búsquedas, roles, tenant y DTO internos.</x:v>
      </x:c>
      <x:c r="E15" s="299" t="str">
        <x:v>Nicole</x:v>
      </x:c>
      <x:c r="F15" s="299" t="str">
        <x:v>Día 3 — Dom</x:v>
      </x:c>
      <x:c r="G15" s="315" t="n">
        <x:v>46264.5</x:v>
      </x:c>
      <x:c r="H15" s="299" t="str">
        <x:v>P0 — Crítica</x:v>
      </x:c>
      <x:c r="I15" s="300" t="n">
        <x:v>5</x:v>
      </x:c>
      <x:c r="J15" s="299" t="str">
        <x:v>T-006 a T-009</x:v>
      </x:c>
      <x:c r="K15" s="299" t="str">
        <x:v>Suite de pacientes</x:v>
      </x:c>
      <x:c r="L15" s="299" t="str">
        <x:v>Tests unitarios/integración verdes</x:v>
      </x:c>
      <x:c r="M15" s="299" t="str">
        <x:v>Por hacer</x:v>
      </x:c>
    </x:row>
    <x:row r="16" ht="60" customHeight="1">
      <x:c r="A16" s="299" t="str">
        <x:v>T-011</x:v>
      </x:c>
      <x:c r="B16" s="299" t="str">
        <x:v>HU-03</x:v>
      </x:c>
      <x:c r="C16" s="299" t="str">
        <x:v>ms-profesionales</x:v>
      </x:c>
      <x:c r="D16" s="299" t="str">
        <x:v>Agregar autenticación, autorización por roles y filtro obligatorio por organización.</x:v>
      </x:c>
      <x:c r="E16" s="299" t="str">
        <x:v>Jhon</x:v>
      </x:c>
      <x:c r="F16" s="299" t="str">
        <x:v>Día 1 — Vie</x:v>
      </x:c>
      <x:c r="G16" s="315" t="n">
        <x:v>46262.5</x:v>
      </x:c>
      <x:c r="H16" s="299" t="str">
        <x:v>P0 — Crítica</x:v>
      </x:c>
      <x:c r="I16" s="300" t="n">
        <x:v>6</x:v>
      </x:c>
      <x:c r="J16" s="299" t="str">
        <x:v>HU-01</x:v>
      </x:c>
      <x:c r="K16" s="299" t="str">
        <x:v>Endpoints protegidos</x:v>
      </x:c>
      <x:c r="L16" s="299" t="str">
        <x:v>A no consulta/modifica profesionales de B</x:v>
      </x:c>
      <x:c r="M16" s="299" t="str">
        <x:v>Por hacer</x:v>
      </x:c>
    </x:row>
    <x:row r="17" ht="60" customHeight="1">
      <x:c r="A17" s="299" t="str">
        <x:v>T-012</x:v>
      </x:c>
      <x:c r="B17" s="299" t="str">
        <x:v>HU-03</x:v>
      </x:c>
      <x:c r="C17" s="299" t="str">
        <x:v>ms-profesionales</x:v>
      </x:c>
      <x:c r="D17" s="299" t="str">
        <x:v>Crear proyección interna mínima tenant-scoped para validación desde Agenda.</x:v>
      </x:c>
      <x:c r="E17" s="299" t="str">
        <x:v>Jhon</x:v>
      </x:c>
      <x:c r="F17" s="299" t="str">
        <x:v>Día 1 — Vie</x:v>
      </x:c>
      <x:c r="G17" s="315" t="n">
        <x:v>46262.5</x:v>
      </x:c>
      <x:c r="H17" s="299" t="str">
        <x:v>P0 — Crítica</x:v>
      </x:c>
      <x:c r="I17" s="300" t="n">
        <x:v>4</x:v>
      </x:c>
      <x:c r="J17" s="299" t="str">
        <x:v>HU-12</x:v>
      </x:c>
      <x:c r="K17" s="299" t="str">
        <x:v>DTO interno ID/tenant/especialidad/activo</x:v>
      </x:c>
      <x:c r="L17" s="299" t="str">
        <x:v>Agenda valida sin datos extra</x:v>
      </x:c>
      <x:c r="M17" s="299" t="str">
        <x:v>Por hacer</x:v>
      </x:c>
    </x:row>
    <x:row r="18" ht="60" customHeight="1">
      <x:c r="A18" s="299" t="str">
        <x:v>T-013</x:v>
      </x:c>
      <x:c r="B18" s="299" t="str">
        <x:v>HU-03</x:v>
      </x:c>
      <x:c r="C18" s="299" t="str">
        <x:v>ms-profesionales</x:v>
      </x:c>
      <x:c r="D18" s="299" t="str">
        <x:v>Validar especialidad y referencias externas contra Catálogos con timeout y correlation ID.</x:v>
      </x:c>
      <x:c r="E18" s="299" t="str">
        <x:v>Jhon</x:v>
      </x:c>
      <x:c r="F18" s="299" t="str">
        <x:v>Día 2 — Sáb</x:v>
      </x:c>
      <x:c r="G18" s="315" t="n">
        <x:v>46263.5</x:v>
      </x:c>
      <x:c r="H18" s="299" t="str">
        <x:v>P1 — Alta</x:v>
      </x:c>
      <x:c r="I18" s="300" t="n">
        <x:v>4</x:v>
      </x:c>
      <x:c r="J18" s="299" t="str">
        <x:v>ms-catalogos</x:v>
      </x:c>
      <x:c r="K18" s="299" t="str">
        <x:v>Cliente remoto controlado</x:v>
      </x:c>
      <x:c r="L18" s="299" t="str">
        <x:v>Código inválido produce error común</x:v>
      </x:c>
      <x:c r="M18" s="299" t="str">
        <x:v>Por hacer</x:v>
      </x:c>
    </x:row>
    <x:row r="19" ht="60" customHeight="1">
      <x:c r="A19" s="299" t="str">
        <x:v>T-014</x:v>
      </x:c>
      <x:c r="B19" s="299" t="str">
        <x:v>HU-03</x:v>
      </x:c>
      <x:c r="C19" s="299" t="str">
        <x:v>frontend</x:v>
      </x:c>
      <x:c r="D19" s="299" t="str">
        <x:v>Crear listado, alta mínima y selector de profesional activo para Agenda.</x:v>
      </x:c>
      <x:c r="E19" s="299" t="str">
        <x:v>Jhon</x:v>
      </x:c>
      <x:c r="F19" s="299" t="str">
        <x:v>Día 2 — Sáb</x:v>
      </x:c>
      <x:c r="G19" s="315" t="n">
        <x:v>46263.5</x:v>
      </x:c>
      <x:c r="H19" s="299" t="str">
        <x:v>P0 — Crítica</x:v>
      </x:c>
      <x:c r="I19" s="300" t="n">
        <x:v>7</x:v>
      </x:c>
      <x:c r="J19" s="299" t="str">
        <x:v>T-011; HU-11</x:v>
      </x:c>
      <x:c r="K19" s="299" t="str">
        <x:v>Pantallas y selector reutilizable</x:v>
      </x:c>
      <x:c r="L19" s="299" t="str">
        <x:v>Profesional aparece al agendar</x:v>
      </x:c>
      <x:c r="M19" s="299" t="str">
        <x:v>Por hacer</x:v>
      </x:c>
    </x:row>
    <x:row r="20" ht="60" customHeight="1">
      <x:c r="A20" s="299" t="str">
        <x:v>T-015</x:v>
      </x:c>
      <x:c r="B20" s="299" t="str">
        <x:v>HU-03</x:v>
      </x:c>
      <x:c r="C20" s="299" t="str">
        <x:v>pruebas</x:v>
      </x:c>
      <x:c r="D20" s="299" t="str">
        <x:v>Añadir pruebas de tenant, roles, ciclo de vida, DTO interno, error común y correlación.</x:v>
      </x:c>
      <x:c r="E20" s="299" t="str">
        <x:v>Jhon</x:v>
      </x:c>
      <x:c r="F20" s="299" t="str">
        <x:v>Día 3 — Dom</x:v>
      </x:c>
      <x:c r="G20" s="315" t="n">
        <x:v>46264.5</x:v>
      </x:c>
      <x:c r="H20" s="299" t="str">
        <x:v>P0 — Crítica</x:v>
      </x:c>
      <x:c r="I20" s="300" t="n">
        <x:v>5</x:v>
      </x:c>
      <x:c r="J20" s="299" t="str">
        <x:v>T-011 a T-014</x:v>
      </x:c>
      <x:c r="K20" s="299" t="str">
        <x:v>Suite de profesionales</x:v>
      </x:c>
      <x:c r="L20" s="299" t="str">
        <x:v>Suite verde con cobertura de seguridad</x:v>
      </x:c>
      <x:c r="M20" s="299" t="str">
        <x:v>Por hacer</x:v>
      </x:c>
    </x:row>
    <x:row r="21" ht="60" customHeight="1">
      <x:c r="A21" s="299" t="str">
        <x:v>T-016</x:v>
      </x:c>
      <x:c r="B21" s="299" t="str">
        <x:v>HU-04</x:v>
      </x:c>
      <x:c r="C21" s="299" t="str">
        <x:v>ms-agenda</x:v>
      </x:c>
      <x:c r="D21" s="299" t="str">
        <x:v>Congelar una sola ruta pública v1 y documentar aliases temporales, si fueran necesarios.</x:v>
      </x:c>
      <x:c r="E21" s="299" t="str">
        <x:v>Álvaro</x:v>
      </x:c>
      <x:c r="F21" s="299" t="str">
        <x:v>Día 1 — Vie</x:v>
      </x:c>
      <x:c r="G21" s="315" t="n">
        <x:v>46262.5</x:v>
      </x:c>
      <x:c r="H21" s="299" t="str">
        <x:v>P0 — Crítica</x:v>
      </x:c>
      <x:c r="I21" s="300" t="n">
        <x:v>3</x:v>
      </x:c>
      <x:c r="J21" s="299" t="str">
        <x:v>HU-12</x:v>
      </x:c>
      <x:c r="K21" s="299" t="str">
        <x:v>Ruta normativa de citas</x:v>
      </x:c>
      <x:c r="L21" s="299" t="str">
        <x:v>Gateway, frontend y pruebas usan la misma ruta</x:v>
      </x:c>
      <x:c r="M21" s="299" t="str">
        <x:v>Por hacer</x:v>
      </x:c>
    </x:row>
    <x:row r="22" ht="60" customHeight="1">
      <x:c r="A22" s="299" t="str">
        <x:v>T-017</x:v>
      </x:c>
      <x:c r="B22" s="299" t="str">
        <x:v>HU-04</x:v>
      </x:c>
      <x:c r="C22" s="299" t="str">
        <x:v>ms-agenda</x:v>
      </x:c>
      <x:c r="D22" s="299" t="str">
        <x:v>Tomar organizationId/userId/roles del JWT y retirar tenant/actor falsificables de body/query.</x:v>
      </x:c>
      <x:c r="E22" s="299" t="str">
        <x:v>Álvaro</x:v>
      </x:c>
      <x:c r="F22" s="299" t="str">
        <x:v>Día 1 — Vie</x:v>
      </x:c>
      <x:c r="G22" s="315" t="n">
        <x:v>46262.5</x:v>
      </x:c>
      <x:c r="H22" s="299" t="str">
        <x:v>P0 — Crítica</x:v>
      </x:c>
      <x:c r="I22" s="300" t="n">
        <x:v>5</x:v>
      </x:c>
      <x:c r="J22" s="299" t="str">
        <x:v>HU-01</x:v>
      </x:c>
      <x:c r="K22" s="299" t="str">
        <x:v>Comandos sin actor manipulable</x:v>
      </x:c>
      <x:c r="L22" s="299" t="str">
        <x:v>Prueba rechaza spoofing</x:v>
      </x:c>
      <x:c r="M22" s="299" t="str">
        <x:v>Por hacer</x:v>
      </x:c>
    </x:row>
    <x:row r="23" ht="60" customHeight="1">
      <x:c r="A23" s="299" t="str">
        <x:v>T-018</x:v>
      </x:c>
      <x:c r="B23" s="299" t="str">
        <x:v>HU-04</x:v>
      </x:c>
      <x:c r="C23" s="299" t="str">
        <x:v>ms-agenda</x:v>
      </x:c>
      <x:c r="D23" s="299" t="str">
        <x:v>Corregir ruta/DTO hacia Pacientes y aplicar timeout y X-Correlation-Id a clientes externos.</x:v>
      </x:c>
      <x:c r="E23" s="299" t="str">
        <x:v>Álvaro</x:v>
      </x:c>
      <x:c r="F23" s="299" t="str">
        <x:v>Día 2 — Sáb</x:v>
      </x:c>
      <x:c r="G23" s="315" t="n">
        <x:v>46263.5</x:v>
      </x:c>
      <x:c r="H23" s="299" t="str">
        <x:v>P0 — Crítica</x:v>
      </x:c>
      <x:c r="I23" s="300" t="n">
        <x:v>5</x:v>
      </x:c>
      <x:c r="J23" s="299" t="str">
        <x:v>T-007</x:v>
      </x:c>
      <x:c r="K23" s="299" t="str">
        <x:v>Validación remota de paciente</x:v>
      </x:c>
      <x:c r="L23" s="299" t="str">
        <x:v>Agenda falla controladamente si Pacientes cae</x:v>
      </x:c>
      <x:c r="M23" s="299" t="str">
        <x:v>Por hacer</x:v>
      </x:c>
    </x:row>
    <x:row r="24" ht="60" customHeight="1">
      <x:c r="A24" s="299" t="str">
        <x:v>T-019</x:v>
      </x:c>
      <x:c r="B24" s="299" t="str">
        <x:v>HU-04</x:v>
      </x:c>
      <x:c r="C24" s="299" t="str">
        <x:v>ms-agenda</x:v>
      </x:c>
      <x:c r="D24" s="299" t="str">
        <x:v>Integrar la validación tenant-scoped de profesional activo y especialidad.</x:v>
      </x:c>
      <x:c r="E24" s="299" t="str">
        <x:v>Álvaro</x:v>
      </x:c>
      <x:c r="F24" s="299" t="str">
        <x:v>Día 2 — Sáb</x:v>
      </x:c>
      <x:c r="G24" s="315" t="n">
        <x:v>46263.5</x:v>
      </x:c>
      <x:c r="H24" s="299" t="str">
        <x:v>P0 — Crítica</x:v>
      </x:c>
      <x:c r="I24" s="300" t="n">
        <x:v>4</x:v>
      </x:c>
      <x:c r="J24" s="299" t="str">
        <x:v>T-012</x:v>
      </x:c>
      <x:c r="K24" s="299" t="str">
        <x:v>Validación remota de profesional</x:v>
      </x:c>
      <x:c r="L24" s="299" t="str">
        <x:v>Profesional de otro tenant es rechazado</x:v>
      </x:c>
      <x:c r="M24" s="299" t="str">
        <x:v>Por hacer</x:v>
      </x:c>
    </x:row>
    <x:row r="25" ht="60" customHeight="1">
      <x:c r="A25" s="299" t="str">
        <x:v>T-020</x:v>
      </x:c>
      <x:c r="B25" s="299" t="str">
        <x:v>HU-04</x:v>
      </x:c>
      <x:c r="C25" s="299" t="str">
        <x:v>frontend</x:v>
      </x:c>
      <x:c r="D25" s="299" t="str">
        <x:v>Crear vista de disponibilidad, selección paciente/profesional/servicio y confirmación de cita.</x:v>
      </x:c>
      <x:c r="E25" s="299" t="str">
        <x:v>Álvaro</x:v>
      </x:c>
      <x:c r="F25" s="299" t="str">
        <x:v>Día 3 — Dom</x:v>
      </x:c>
      <x:c r="G25" s="315" t="n">
        <x:v>46264.5</x:v>
      </x:c>
      <x:c r="H25" s="299" t="str">
        <x:v>P0 — Crítica</x:v>
      </x:c>
      <x:c r="I25" s="300" t="n">
        <x:v>8</x:v>
      </x:c>
      <x:c r="J25" s="299" t="str">
        <x:v>T-018; T-019; HU-11</x:v>
      </x:c>
      <x:c r="K25" s="299" t="str">
        <x:v>Flujo de agenda</x:v>
      </x:c>
      <x:c r="L25" s="299" t="str">
        <x:v>Cita visible tras confirmar</x:v>
      </x:c>
      <x:c r="M25" s="299" t="str">
        <x:v>Por hacer</x:v>
      </x:c>
    </x:row>
    <x:row r="26" ht="60" customHeight="1">
      <x:c r="A26" s="299" t="str">
        <x:v>T-021</x:v>
      </x:c>
      <x:c r="B26" s="299" t="str">
        <x:v>HU-04</x:v>
      </x:c>
      <x:c r="C26" s="299" t="str">
        <x:v>pruebas</x:v>
      </x:c>
      <x:c r="D26" s="299" t="str">
        <x:v>Cubrir solapamientos, estados, referencias remotas, tenant, roles y caída de dependencias.</x:v>
      </x:c>
      <x:c r="E26" s="299" t="str">
        <x:v>Álvaro</x:v>
      </x:c>
      <x:c r="F26" s="299" t="str">
        <x:v>Día 3 — Dom</x:v>
      </x:c>
      <x:c r="G26" s="315" t="n">
        <x:v>46264.5</x:v>
      </x:c>
      <x:c r="H26" s="299" t="str">
        <x:v>P0 — Crítica</x:v>
      </x:c>
      <x:c r="I26" s="300" t="n">
        <x:v>5</x:v>
      </x:c>
      <x:c r="J26" s="299" t="str">
        <x:v>T-017 a T-020</x:v>
      </x:c>
      <x:c r="K26" s="299" t="str">
        <x:v>Suite de agenda integrada</x:v>
      </x:c>
      <x:c r="L26" s="299" t="str">
        <x:v>409 correcto y correlation ID estable</x:v>
      </x:c>
      <x:c r="M26" s="299" t="str">
        <x:v>Por hacer</x:v>
      </x:c>
    </x:row>
    <x:row r="27" ht="60" customHeight="1">
      <x:c r="A27" s="299" t="str">
        <x:v>T-022</x:v>
      </x:c>
      <x:c r="B27" s="299" t="str">
        <x:v>HU-05</x:v>
      </x:c>
      <x:c r="C27" s="299" t="str">
        <x:v>ms-historial</x:v>
      </x:c>
      <x:c r="D27" s="299" t="str">
        <x:v>Congelar contratos de encuentro, diagnóstico, firma y consulta clínica para el frontend.</x:v>
      </x:c>
      <x:c r="E27" s="299" t="str">
        <x:v>Franco</x:v>
      </x:c>
      <x:c r="F27" s="299" t="str">
        <x:v>Día 1 — Vie</x:v>
      </x:c>
      <x:c r="G27" s="315" t="n">
        <x:v>46262.5</x:v>
      </x:c>
      <x:c r="H27" s="299" t="str">
        <x:v>P0 — Crítica</x:v>
      </x:c>
      <x:c r="I27" s="300" t="n">
        <x:v>3</x:v>
      </x:c>
      <x:c r="J27" s="299" t="str">
        <x:v>HU-12</x:v>
      </x:c>
      <x:c r="K27" s="299" t="str">
        <x:v>OpenAPI de atención clínica</x:v>
      </x:c>
      <x:c r="L27" s="299" t="str">
        <x:v>Requests/responses revisados por consumidor</x:v>
      </x:c>
      <x:c r="M27" s="299" t="str">
        <x:v>Por hacer</x:v>
      </x:c>
    </x:row>
    <x:row r="28" ht="60" customHeight="1">
      <x:c r="A28" s="299" t="str">
        <x:v>T-023</x:v>
      </x:c>
      <x:c r="B28" s="299" t="str">
        <x:v>HU-05</x:v>
      </x:c>
      <x:c r="C28" s="299" t="str">
        <x:v>ms-catalogos</x:v>
      </x:c>
      <x:c r="D28" s="299" t="str">
        <x:v>Exponer rutas requeridas por Historial para diagnósticos/medicamentos y completar seeds MVP.</x:v>
      </x:c>
      <x:c r="E28" s="299" t="str">
        <x:v>Juanjo</x:v>
      </x:c>
      <x:c r="F28" s="299" t="str">
        <x:v>Día 1 — Vie</x:v>
      </x:c>
      <x:c r="G28" s="315" t="n">
        <x:v>46262.5</x:v>
      </x:c>
      <x:c r="H28" s="299" t="str">
        <x:v>P0 — Crítica</x:v>
      </x:c>
      <x:c r="I28" s="300" t="n">
        <x:v>5</x:v>
      </x:c>
      <x:c r="J28" s="299" t="str">
        <x:v>Contrato Historial→Catálogos</x:v>
      </x:c>
      <x:c r="K28" s="299" t="str">
        <x:v>Catálogos disponibles en modo remoto</x:v>
      </x:c>
      <x:c r="L28" s="299" t="str">
        <x:v>Historial valida códigos reales</x:v>
      </x:c>
      <x:c r="M28" s="299" t="str">
        <x:v>Por hacer</x:v>
      </x:c>
    </x:row>
    <x:row r="29" ht="60" customHeight="1">
      <x:c r="A29" s="299" t="str">
        <x:v>T-024</x:v>
      </x:c>
      <x:c r="B29" s="299" t="str">
        <x:v>HU-05</x:v>
      </x:c>
      <x:c r="C29" s="299" t="str">
        <x:v>ms-criptografia</x:v>
      </x:c>
      <x:c r="D29" s="299" t="str">
        <x:v>Alinear rutas y JSON remotos con Historial e implementar claves efectivas por tenant.</x:v>
      </x:c>
      <x:c r="E29" s="299" t="str">
        <x:v>Juanjo</x:v>
      </x:c>
      <x:c r="F29" s="299" t="str">
        <x:v>Día 2 — Sáb</x:v>
      </x:c>
      <x:c r="G29" s="315" t="n">
        <x:v>46263.5</x:v>
      </x:c>
      <x:c r="H29" s="299" t="str">
        <x:v>P0 — Crítica</x:v>
      </x:c>
      <x:c r="I29" s="300" t="n">
        <x:v>7</x:v>
      </x:c>
      <x:c r="J29" s="299" t="str">
        <x:v>Contrato Historial→Crypto</x:v>
      </x:c>
      <x:c r="K29" s="299" t="str">
        <x:v>Encrypt/decrypt tenant-scoped</x:v>
      </x:c>
      <x:c r="L29" s="299" t="str">
        <x:v>Roundtrip remoto y separación por tenant</x:v>
      </x:c>
      <x:c r="M29" s="299" t="str">
        <x:v>Por hacer</x:v>
      </x:c>
    </x:row>
    <x:row r="30" ht="60" customHeight="1">
      <x:c r="A30" s="299" t="str">
        <x:v>T-025</x:v>
      </x:c>
      <x:c r="B30" s="299" t="str">
        <x:v>HU-05</x:v>
      </x:c>
      <x:c r="C30" s="299" t="str">
        <x:v>ms-historial</x:v>
      </x:c>
      <x:c r="D30" s="299" t="str">
        <x:v>Activar clientes remotos de Catálogos/Criptografía y eliminar cifrado local efímero del perfil integrado.</x:v>
      </x:c>
      <x:c r="E30" s="299" t="str">
        <x:v>Franco</x:v>
      </x:c>
      <x:c r="F30" s="299" t="str">
        <x:v>Día 2 — Sáb</x:v>
      </x:c>
      <x:c r="G30" s="315" t="n">
        <x:v>46263.5</x:v>
      </x:c>
      <x:c r="H30" s="299" t="str">
        <x:v>P0 — Crítica</x:v>
      </x:c>
      <x:c r="I30" s="300" t="n">
        <x:v>6</x:v>
      </x:c>
      <x:c r="J30" s="299" t="str">
        <x:v>T-023; T-024</x:v>
      </x:c>
      <x:c r="K30" s="299" t="str">
        <x:v>Historial integrado real</x:v>
      </x:c>
      <x:c r="L30" s="299" t="str">
        <x:v>Servicio no arranca/continúa con doble oculto</x:v>
      </x:c>
      <x:c r="M30" s="299" t="str">
        <x:v>Por hacer</x:v>
      </x:c>
    </x:row>
    <x:row r="31" ht="60" customHeight="1">
      <x:c r="A31" s="299" t="str">
        <x:v>T-026</x:v>
      </x:c>
      <x:c r="B31" s="299" t="str">
        <x:v>HU-05</x:v>
      </x:c>
      <x:c r="C31" s="299" t="str">
        <x:v>ms-historial</x:v>
      </x:c>
      <x:c r="D31" s="299" t="str">
        <x:v>Validar cita, paciente y profesional antes de crear encuentro y firmar diagnóstico.</x:v>
      </x:c>
      <x:c r="E31" s="299" t="str">
        <x:v>Franco</x:v>
      </x:c>
      <x:c r="F31" s="299" t="str">
        <x:v>Día 3 — Dom</x:v>
      </x:c>
      <x:c r="G31" s="315" t="n">
        <x:v>46264.5</x:v>
      </x:c>
      <x:c r="H31" s="299" t="str">
        <x:v>P0 — Crítica</x:v>
      </x:c>
      <x:c r="I31" s="300" t="n">
        <x:v>5</x:v>
      </x:c>
      <x:c r="J31" s="299" t="str">
        <x:v>HU-02 a HU-04</x:v>
      </x:c>
      <x:c r="K31" s="299" t="str">
        <x:v>Referencias clínicas verificadas</x:v>
      </x:c>
      <x:c r="L31" s="299" t="str">
        <x:v>IDs ajenos/inexistentes rechazados</x:v>
      </x:c>
      <x:c r="M31" s="299" t="str">
        <x:v>Por hacer</x:v>
      </x:c>
    </x:row>
    <x:row r="32" ht="60" customHeight="1">
      <x:c r="A32" s="299" t="str">
        <x:v>T-027</x:v>
      </x:c>
      <x:c r="B32" s="299" t="str">
        <x:v>HU-05</x:v>
      </x:c>
      <x:c r="C32" s="299" t="str">
        <x:v>frontend</x:v>
      </x:c>
      <x:c r="D32" s="299" t="str">
        <x:v>Crear pantalla de atención: contexto de cita, narrativa, diagnóstico, firma y confirmación.</x:v>
      </x:c>
      <x:c r="E32" s="299" t="str">
        <x:v>Franco</x:v>
      </x:c>
      <x:c r="F32" s="299" t="str">
        <x:v>Día 3 — Dom</x:v>
      </x:c>
      <x:c r="G32" s="315" t="n">
        <x:v>46264.5</x:v>
      </x:c>
      <x:c r="H32" s="299" t="str">
        <x:v>P0 — Crítica</x:v>
      </x:c>
      <x:c r="I32" s="300" t="n">
        <x:v>8</x:v>
      </x:c>
      <x:c r="J32" s="299" t="str">
        <x:v>T-022 a T-026; HU-11</x:v>
      </x:c>
      <x:c r="K32" s="299" t="str">
        <x:v>Flujo clínico completo</x:v>
      </x:c>
      <x:c r="L32" s="299" t="str">
        <x:v>Atención firmada visible en historial</x:v>
      </x:c>
      <x:c r="M32" s="299" t="str">
        <x:v>Por hacer</x:v>
      </x:c>
    </x:row>
    <x:row r="33" ht="60" customHeight="1">
      <x:c r="A33" s="299" t="str">
        <x:v>T-028</x:v>
      </x:c>
      <x:c r="B33" s="299" t="str">
        <x:v>HU-05</x:v>
      </x:c>
      <x:c r="C33" s="299" t="str">
        <x:v>pruebas</x:v>
      </x:c>
      <x:c r="D33" s="299" t="str">
        <x:v>Probar permisos de profesional, inmutabilidad, cifrado remoto, errores y ausencia de texto clínico en claro.</x:v>
      </x:c>
      <x:c r="E33" s="299" t="str">
        <x:v>Franco</x:v>
      </x:c>
      <x:c r="F33" s="299" t="str">
        <x:v>Día 4 — Lun</x:v>
      </x:c>
      <x:c r="G33" s="315" t="n">
        <x:v>46265.5</x:v>
      </x:c>
      <x:c r="H33" s="299" t="str">
        <x:v>P0 — Crítica</x:v>
      </x:c>
      <x:c r="I33" s="300" t="n">
        <x:v>5</x:v>
      </x:c>
      <x:c r="J33" s="299" t="str">
        <x:v>T-025 a T-027</x:v>
      </x:c>
      <x:c r="K33" s="299" t="str">
        <x:v>Suite clínica</x:v>
      </x:c>
      <x:c r="L33" s="299" t="str">
        <x:v>Tests y verificación DB verdes</x:v>
      </x:c>
      <x:c r="M33" s="299" t="str">
        <x:v>Por hacer</x:v>
      </x:c>
    </x:row>
    <x:row r="34" ht="60" customHeight="1">
      <x:c r="A34" s="299" t="str">
        <x:v>T-029</x:v>
      </x:c>
      <x:c r="B34" s="299" t="str">
        <x:v>HU-06</x:v>
      </x:c>
      <x:c r="C34" s="299" t="str">
        <x:v>ms-catalogos</x:v>
      </x:c>
      <x:c r="D34" s="299" t="str">
        <x:v>Exponer la ruta única de tipos de estudio y sembrar Rayos X para la demo.</x:v>
      </x:c>
      <x:c r="E34" s="299" t="str">
        <x:v>Juanjo</x:v>
      </x:c>
      <x:c r="F34" s="299" t="str">
        <x:v>Día 1 — Vie</x:v>
      </x:c>
      <x:c r="G34" s="315" t="n">
        <x:v>46262.5</x:v>
      </x:c>
      <x:c r="H34" s="299" t="str">
        <x:v>P0 — Crítica</x:v>
      </x:c>
      <x:c r="I34" s="300" t="n">
        <x:v>4</x:v>
      </x:c>
      <x:c r="J34" s="299" t="str">
        <x:v>HU-12</x:v>
      </x:c>
      <x:c r="K34" s="299" t="str">
        <x:v>Tipo de estudio consultable</x:v>
      </x:c>
      <x:c r="L34" s="299" t="str">
        <x:v>Historial consume la ruta acordada</x:v>
      </x:c>
      <x:c r="M34" s="299" t="str">
        <x:v>Por hacer</x:v>
      </x:c>
    </x:row>
    <x:row r="35" ht="60" customHeight="1">
      <x:c r="A35" s="299" t="str">
        <x:v>T-030</x:v>
      </x:c>
      <x:c r="B35" s="299" t="str">
        <x:v>HU-06</x:v>
      </x:c>
      <x:c r="C35" s="299" t="str">
        <x:v>ms-historial</x:v>
      </x:c>
      <x:c r="D35" s="299" t="str">
        <x:v>Implementar/ajustar creación y consulta de orden de estudio vinculada al encuentro.</x:v>
      </x:c>
      <x:c r="E35" s="299" t="str">
        <x:v>Franco</x:v>
      </x:c>
      <x:c r="F35" s="299" t="str">
        <x:v>Día 3 — Dom</x:v>
      </x:c>
      <x:c r="G35" s="315" t="n">
        <x:v>46264.5</x:v>
      </x:c>
      <x:c r="H35" s="299" t="str">
        <x:v>P0 — Crítica</x:v>
      </x:c>
      <x:c r="I35" s="300" t="n">
        <x:v>5</x:v>
      </x:c>
      <x:c r="J35" s="299" t="str">
        <x:v>T-029; HU-05</x:v>
      </x:c>
      <x:c r="K35" s="299" t="str">
        <x:v>Orden persistida</x:v>
      </x:c>
      <x:c r="L35" s="299" t="str">
        <x:v>Orden contiene paciente, encuentro, tipo y estado</x:v>
      </x:c>
      <x:c r="M35" s="299" t="str">
        <x:v>Por hacer</x:v>
      </x:c>
    </x:row>
    <x:row r="36" ht="60" customHeight="1">
      <x:c r="A36" s="299" t="str">
        <x:v>T-031</x:v>
      </x:c>
      <x:c r="B36" s="299" t="str">
        <x:v>HU-06</x:v>
      </x:c>
      <x:c r="C36" s="299" t="str">
        <x:v>ms-agenda</x:v>
      </x:c>
      <x:c r="D36" s="299" t="str">
        <x:v>Permitir crear la cita de imagen/seguimiento desde la orden sin romper el contrato de Agenda.</x:v>
      </x:c>
      <x:c r="E36" s="299" t="str">
        <x:v>Álvaro</x:v>
      </x:c>
      <x:c r="F36" s="299" t="str">
        <x:v>Día 3 — Dom</x:v>
      </x:c>
      <x:c r="G36" s="315" t="n">
        <x:v>46264.5</x:v>
      </x:c>
      <x:c r="H36" s="299" t="str">
        <x:v>P1 — Alta</x:v>
      </x:c>
      <x:c r="I36" s="300" t="n">
        <x:v>5</x:v>
      </x:c>
      <x:c r="J36" s="299" t="str">
        <x:v>T-030; HU-04</x:v>
      </x:c>
      <x:c r="K36" s="299" t="str">
        <x:v>Cita asociada al propósito de estudio</x:v>
      </x:c>
      <x:c r="L36" s="299" t="str">
        <x:v>Aparece en agenda y evita solapamiento</x:v>
      </x:c>
      <x:c r="M36" s="299" t="str">
        <x:v>Por hacer</x:v>
      </x:c>
    </x:row>
    <x:row r="37" ht="60" customHeight="1">
      <x:c r="A37" s="299" t="str">
        <x:v>T-032</x:v>
      </x:c>
      <x:c r="B37" s="299" t="str">
        <x:v>HU-06</x:v>
      </x:c>
      <x:c r="C37" s="299" t="str">
        <x:v>frontend</x:v>
      </x:c>
      <x:c r="D37" s="299" t="str">
        <x:v>Añadir solicitud de estudio, selección de tipo y acción opcional para agendar seguimiento.</x:v>
      </x:c>
      <x:c r="E37" s="299" t="str">
        <x:v>Franco</x:v>
      </x:c>
      <x:c r="F37" s="299" t="str">
        <x:v>Día 4 — Lun</x:v>
      </x:c>
      <x:c r="G37" s="315" t="n">
        <x:v>46265.5</x:v>
      </x:c>
      <x:c r="H37" s="299" t="str">
        <x:v>P0 — Crítica</x:v>
      </x:c>
      <x:c r="I37" s="300" t="n">
        <x:v>6</x:v>
      </x:c>
      <x:c r="J37" s="299" t="str">
        <x:v>T-030; T-031; HU-11</x:v>
      </x:c>
      <x:c r="K37" s="299" t="str">
        <x:v>UI de orden y seguimiento</x:v>
      </x:c>
      <x:c r="L37" s="299" t="str">
        <x:v>Orden y cita se visualizan</x:v>
      </x:c>
      <x:c r="M37" s="299" t="str">
        <x:v>Por hacer</x:v>
      </x:c>
    </x:row>
    <x:row r="38" ht="60" customHeight="1">
      <x:c r="A38" s="299" t="str">
        <x:v>T-033</x:v>
      </x:c>
      <x:c r="B38" s="299" t="str">
        <x:v>HU-06</x:v>
      </x:c>
      <x:c r="C38" s="299" t="str">
        <x:v>pruebas</x:v>
      </x:c>
      <x:c r="D38" s="299" t="str">
        <x:v>Cubrir tipo inválido, transición de estados, vínculo al encuentro y seguimiento.</x:v>
      </x:c>
      <x:c r="E38" s="299" t="str">
        <x:v>Franco</x:v>
      </x:c>
      <x:c r="F38" s="299" t="str">
        <x:v>Día 4 — Lun</x:v>
      </x:c>
      <x:c r="G38" s="315" t="n">
        <x:v>46265.5</x:v>
      </x:c>
      <x:c r="H38" s="299" t="str">
        <x:v>P1 — Alta</x:v>
      </x:c>
      <x:c r="I38" s="300" t="n">
        <x:v>4</x:v>
      </x:c>
      <x:c r="J38" s="299" t="str">
        <x:v>T-030 a T-032</x:v>
      </x:c>
      <x:c r="K38" s="299" t="str">
        <x:v>Suite de órdenes</x:v>
      </x:c>
      <x:c r="L38" s="299" t="str">
        <x:v>Casos positivos/negativos verdes</x:v>
      </x:c>
      <x:c r="M38" s="299" t="str">
        <x:v>Por hacer</x:v>
      </x:c>
    </x:row>
    <x:row r="39" ht="60" customHeight="1">
      <x:c r="A39" s="299" t="str">
        <x:v>T-034</x:v>
      </x:c>
      <x:c r="B39" s="299" t="str">
        <x:v>HU-07</x:v>
      </x:c>
      <x:c r="C39" s="299" t="str">
        <x:v>ms-documental</x:v>
      </x:c>
      <x:c r="D39" s="299" t="str">
        <x:v>Verificar existencia, tamaño y hash del objeto antes de marcar un documento AVAILABLE.</x:v>
      </x:c>
      <x:c r="E39" s="299" t="str">
        <x:v>Nicole</x:v>
      </x:c>
      <x:c r="F39" s="299" t="str">
        <x:v>Día 2 — Sáb</x:v>
      </x:c>
      <x:c r="G39" s="315" t="n">
        <x:v>46263.5</x:v>
      </x:c>
      <x:c r="H39" s="299" t="str">
        <x:v>P0 — Crítica</x:v>
      </x:c>
      <x:c r="I39" s="300" t="n">
        <x:v>5</x:v>
      </x:c>
      <x:c r="J39" s="299" t="str">
        <x:v>MinIO</x:v>
      </x:c>
      <x:c r="K39" s="299" t="str">
        <x:v>Estado coherente con objeto</x:v>
      </x:c>
      <x:c r="L39" s="299" t="str">
        <x:v>No se confirma objeto ausente/corrupto</x:v>
      </x:c>
      <x:c r="M39" s="299" t="str">
        <x:v>Por hacer</x:v>
      </x:c>
    </x:row>
    <x:row r="40" ht="60" customHeight="1">
      <x:c r="A40" s="299" t="str">
        <x:v>T-035</x:v>
      </x:c>
      <x:c r="B40" s="299" t="str">
        <x:v>HU-07</x:v>
      </x:c>
      <x:c r="C40" s="299" t="str">
        <x:v>MinIO/Compose</x:v>
      </x:c>
      <x:c r="D40" s="299" t="str">
        <x:v>Crear usuario/bucket con privilegio mínimo, fijar versión y retirar credenciales root de la aplicación.</x:v>
      </x:c>
      <x:c r="E40" s="299" t="str">
        <x:v>Nicole</x:v>
      </x:c>
      <x:c r="F40" s="299" t="str">
        <x:v>Día 2 — Sáb</x:v>
      </x:c>
      <x:c r="G40" s="315" t="n">
        <x:v>46263.5</x:v>
      </x:c>
      <x:c r="H40" s="299" t="str">
        <x:v>P1 — Alta</x:v>
      </x:c>
      <x:c r="I40" s="300" t="n">
        <x:v>4</x:v>
      </x:c>
      <x:c r="J40" s="299" t="str">
        <x:v>Compose</x:v>
      </x:c>
      <x:c r="K40" s="299" t="str">
        <x:v>Credenciales limitadas</x:v>
      </x:c>
      <x:c r="L40" s="299" t="str">
        <x:v>Carga/lectura funcionan sin root</x:v>
      </x:c>
      <x:c r="M40" s="299" t="str">
        <x:v>Por hacer</x:v>
      </x:c>
    </x:row>
    <x:row r="41" ht="60" customHeight="1">
      <x:c r="A41" s="299" t="str">
        <x:v>T-036</x:v>
      </x:c>
      <x:c r="B41" s="299" t="str">
        <x:v>HU-07</x:v>
      </x:c>
      <x:c r="C41" s="299" t="str">
        <x:v>ms-documental</x:v>
      </x:c>
      <x:c r="D41" s="299" t="str">
        <x:v>Asegurar vínculo tenant-scoped a paciente/orden y compensar fallos que generen objetos huérfanos.</x:v>
      </x:c>
      <x:c r="E41" s="299" t="str">
        <x:v>Nicole</x:v>
      </x:c>
      <x:c r="F41" s="299" t="str">
        <x:v>Día 3 — Dom</x:v>
      </x:c>
      <x:c r="G41" s="315" t="n">
        <x:v>46264.5</x:v>
      </x:c>
      <x:c r="H41" s="299" t="str">
        <x:v>P0 — Crítica</x:v>
      </x:c>
      <x:c r="I41" s="300" t="n">
        <x:v>5</x:v>
      </x:c>
      <x:c r="J41" s="299" t="str">
        <x:v>HU-02; HU-06</x:v>
      </x:c>
      <x:c r="K41" s="299" t="str">
        <x:v>Metadata y limpieza consistentes</x:v>
      </x:c>
      <x:c r="L41" s="299" t="str">
        <x:v>Rollback/cleanup probado</x:v>
      </x:c>
      <x:c r="M41" s="299" t="str">
        <x:v>Por hacer</x:v>
      </x:c>
    </x:row>
    <x:row r="42" ht="60" customHeight="1">
      <x:c r="A42" s="299" t="str">
        <x:v>T-037</x:v>
      </x:c>
      <x:c r="B42" s="299" t="str">
        <x:v>HU-07</x:v>
      </x:c>
      <x:c r="C42" s="299" t="str">
        <x:v>frontend</x:v>
      </x:c>
      <x:c r="D42" s="299" t="str">
        <x:v>Crear carga, progreso, asociación, consulta de metadata y enlace de descarga/visualización.</x:v>
      </x:c>
      <x:c r="E42" s="299" t="str">
        <x:v>Nicole</x:v>
      </x:c>
      <x:c r="F42" s="299" t="str">
        <x:v>Día 3 — Dom</x:v>
      </x:c>
      <x:c r="G42" s="315" t="n">
        <x:v>46264.5</x:v>
      </x:c>
      <x:c r="H42" s="299" t="str">
        <x:v>P0 — Crítica</x:v>
      </x:c>
      <x:c r="I42" s="300" t="n">
        <x:v>8</x:v>
      </x:c>
      <x:c r="J42" s="299" t="str">
        <x:v>T-034 a T-036; HU-11</x:v>
      </x:c>
      <x:c r="K42" s="299" t="str">
        <x:v>Pantalla documental</x:v>
      </x:c>
      <x:c r="L42" s="299" t="str">
        <x:v>Documento aparece ligado a orden/paciente</x:v>
      </x:c>
      <x:c r="M42" s="299" t="str">
        <x:v>Por hacer</x:v>
      </x:c>
    </x:row>
    <x:row r="43" ht="60" customHeight="1">
      <x:c r="A43" s="299" t="str">
        <x:v>T-038</x:v>
      </x:c>
      <x:c r="B43" s="299" t="str">
        <x:v>HU-07</x:v>
      </x:c>
      <x:c r="C43" s="299" t="str">
        <x:v>pruebas</x:v>
      </x:c>
      <x:c r="D43" s="299" t="str">
        <x:v>Cubrir MIME/tamaño/hash, tenant, objeto faltante, reintento y limpieza de error.</x:v>
      </x:c>
      <x:c r="E43" s="299" t="str">
        <x:v>Nicole</x:v>
      </x:c>
      <x:c r="F43" s="299" t="str">
        <x:v>Día 4 — Lun</x:v>
      </x:c>
      <x:c r="G43" s="315" t="n">
        <x:v>46265.5</x:v>
      </x:c>
      <x:c r="H43" s="299" t="str">
        <x:v>P0 — Crítica</x:v>
      </x:c>
      <x:c r="I43" s="300" t="n">
        <x:v>5</x:v>
      </x:c>
      <x:c r="J43" s="299" t="str">
        <x:v>T-034 a T-037</x:v>
      </x:c>
      <x:c r="K43" s="299" t="str">
        <x:v>Suite documental</x:v>
      </x:c>
      <x:c r="L43" s="299" t="str">
        <x:v>Tests y verificación MinIO verdes</x:v>
      </x:c>
      <x:c r="M43" s="299" t="str">
        <x:v>Por hacer</x:v>
      </x:c>
    </x:row>
    <x:row r="44" ht="60" customHeight="1">
      <x:c r="A44" s="299" t="str">
        <x:v>T-039</x:v>
      </x:c>
      <x:c r="B44" s="299" t="str">
        <x:v>HU-08</x:v>
      </x:c>
      <x:c r="C44" s="299" t="str">
        <x:v>UX/alcance</x:v>
      </x:c>
      <x:c r="D44" s="299" t="str">
        <x:v>Documentar el handoff manual: qué datos se muestran, mensaje sugerido y qué NO confirma el sistema.</x:v>
      </x:c>
      <x:c r="E44" s="299" t="str">
        <x:v>Franco</x:v>
      </x:c>
      <x:c r="F44" s="299" t="str">
        <x:v>Día 1 — Vie</x:v>
      </x:c>
      <x:c r="G44" s="315" t="n">
        <x:v>46262.5</x:v>
      </x:c>
      <x:c r="H44" s="299" t="str">
        <x:v>P1 — Alta</x:v>
      </x:c>
      <x:c r="I44" s="300" t="n">
        <x:v>2</x:v>
      </x:c>
      <x:c r="J44" s="299" t="str">
        <x:v>HU-11</x:v>
      </x:c>
      <x:c r="K44" s="299" t="str">
        <x:v>Microflujo aprobado</x:v>
      </x:c>
      <x:c r="L44" s="299" t="str">
        <x:v>No se confunde preparación con envío</x:v>
      </x:c>
      <x:c r="M44" s="299" t="str">
        <x:v>Por hacer</x:v>
      </x:c>
    </x:row>
    <x:row r="45" ht="60" customHeight="1">
      <x:c r="A45" s="299" t="str">
        <x:v>T-040</x:v>
      </x:c>
      <x:c r="B45" s="299" t="str">
        <x:v>HU-08</x:v>
      </x:c>
      <x:c r="C45" s="299" t="str">
        <x:v>frontend</x:v>
      </x:c>
      <x:c r="D45" s="299" t="str">
        <x:v>Mostrar teléfono, vista previa y acciones Copiar/Abrir WhatsApp sin API automática.</x:v>
      </x:c>
      <x:c r="E45" s="299" t="str">
        <x:v>Nicole</x:v>
      </x:c>
      <x:c r="F45" s="299" t="str">
        <x:v>Día 4 — Lun</x:v>
      </x:c>
      <x:c r="G45" s="315" t="n">
        <x:v>46265.5</x:v>
      </x:c>
      <x:c r="H45" s="299" t="str">
        <x:v>P1 — Alta</x:v>
      </x:c>
      <x:c r="I45" s="300" t="n">
        <x:v>5</x:v>
      </x:c>
      <x:c r="J45" s="299" t="str">
        <x:v>HU-02; HU-07</x:v>
      </x:c>
      <x:c r="K45" s="299" t="str">
        <x:v>Handoff manual</x:v>
      </x:c>
      <x:c r="L45" s="299" t="str">
        <x:v>Mensaje listo y datos correctos</x:v>
      </x:c>
      <x:c r="M45" s="299" t="str">
        <x:v>Por hacer</x:v>
      </x:c>
    </x:row>
    <x:row r="46" ht="60" customHeight="1">
      <x:c r="A46" s="299" t="str">
        <x:v>T-041</x:v>
      </x:c>
      <x:c r="B46" s="299" t="str">
        <x:v>HU-08</x:v>
      </x:c>
      <x:c r="C46" s="299" t="str">
        <x:v>pruebas/evidencia</x:v>
      </x:c>
      <x:c r="D46" s="299" t="str">
        <x:v>Verificar permisos, ausencia de envío automático y registrar evidencia de la confirmación manual.</x:v>
      </x:c>
      <x:c r="E46" s="299" t="str">
        <x:v>Jhon</x:v>
      </x:c>
      <x:c r="F46" s="299" t="str">
        <x:v>Día 5 — Mar</x:v>
      </x:c>
      <x:c r="G46" s="315" t="n">
        <x:v>46266.5</x:v>
      </x:c>
      <x:c r="H46" s="299" t="str">
        <x:v>P1 — Alta</x:v>
      </x:c>
      <x:c r="I46" s="300" t="n">
        <x:v>2</x:v>
      </x:c>
      <x:c r="J46" s="299" t="str">
        <x:v>T-040</x:v>
      </x:c>
      <x:c r="K46" s="299" t="str">
        <x:v>Checklist de entrega manual</x:v>
      </x:c>
      <x:c r="L46" s="299" t="str">
        <x:v>No se registra estado ENTREGADO falso</x:v>
      </x:c>
      <x:c r="M46" s="299" t="str">
        <x:v>Por hacer</x:v>
      </x:c>
    </x:row>
    <x:row r="47" ht="60" customHeight="1">
      <x:c r="A47" s="299" t="str">
        <x:v>T-042</x:v>
      </x:c>
      <x:c r="B47" s="299" t="str">
        <x:v>HU-09</x:v>
      </x:c>
      <x:c r="C47" s="299" t="str">
        <x:v>ms-facturacion</x:v>
      </x:c>
      <x:c r="D47" s="299" t="str">
        <x:v>Alinear ruta/DTO remoto de Pacientes y activar PATIENTS_MODE remoto en perfil integrated.</x:v>
      </x:c>
      <x:c r="E47" s="299" t="str">
        <x:v>Franco</x:v>
      </x:c>
      <x:c r="F47" s="299" t="str">
        <x:v>Día 1 — Vie</x:v>
      </x:c>
      <x:c r="G47" s="315" t="n">
        <x:v>46262.5</x:v>
      </x:c>
      <x:c r="H47" s="299" t="str">
        <x:v>P0 — Crítica</x:v>
      </x:c>
      <x:c r="I47" s="300" t="n">
        <x:v>4</x:v>
      </x:c>
      <x:c r="J47" s="299" t="str">
        <x:v>T-007</x:v>
      </x:c>
      <x:c r="K47" s="299" t="str">
        <x:v>Cliente Pacientes compatible</x:v>
      </x:c>
      <x:c r="L47" s="299" t="str">
        <x:v>Factura obtiene datos reales</x:v>
      </x:c>
      <x:c r="M47" s="299" t="str">
        <x:v>Por hacer</x:v>
      </x:c>
    </x:row>
    <x:row r="48" ht="60" customHeight="1">
      <x:c r="A48" s="299" t="str">
        <x:v>T-043</x:v>
      </x:c>
      <x:c r="B48" s="299" t="str">
        <x:v>HU-09</x:v>
      </x:c>
      <x:c r="C48" s="299" t="str">
        <x:v>ms-facturacion</x:v>
      </x:c>
      <x:c r="D48" s="299" t="str">
        <x:v>Activar validación remota de Tenencia y quitar la simulación silenciosa del perfil integrated.</x:v>
      </x:c>
      <x:c r="E48" s="299" t="str">
        <x:v>Franco</x:v>
      </x:c>
      <x:c r="F48" s="299" t="str">
        <x:v>Día 2 — Sáb</x:v>
      </x:c>
      <x:c r="G48" s="315" t="n">
        <x:v>46263.5</x:v>
      </x:c>
      <x:c r="H48" s="299" t="str">
        <x:v>P0 — Crítica</x:v>
      </x:c>
      <x:c r="I48" s="300" t="n">
        <x:v>3</x:v>
      </x:c>
      <x:c r="J48" s="299" t="str">
        <x:v>T-002</x:v>
      </x:c>
      <x:c r="K48" s="299" t="str">
        <x:v>Cliente Tenencia remoto</x:v>
      </x:c>
      <x:c r="L48" s="299" t="str">
        <x:v>Tenant inactivo bloquea emisión</x:v>
      </x:c>
      <x:c r="M48" s="299" t="str">
        <x:v>Por hacer</x:v>
      </x:c>
    </x:row>
    <x:row r="49" ht="60" customHeight="1">
      <x:c r="A49" s="299" t="str">
        <x:v>T-044</x:v>
      </x:c>
      <x:c r="B49" s="299" t="str">
        <x:v>HU-09</x:v>
      </x:c>
      <x:c r="C49" s="299" t="str">
        <x:v>ms-facturacion</x:v>
      </x:c>
      <x:c r="D49" s="299" t="str">
        <x:v>Añadir idempotencia y trazabilidad a emisión; conservar totales BigDecimal y correlativo.</x:v>
      </x:c>
      <x:c r="E49" s="299" t="str">
        <x:v>Franco</x:v>
      </x:c>
      <x:c r="F49" s="299" t="str">
        <x:v>Día 3 — Dom</x:v>
      </x:c>
      <x:c r="G49" s="315" t="n">
        <x:v>46264.5</x:v>
      </x:c>
      <x:c r="H49" s="299" t="str">
        <x:v>P1 — Alta</x:v>
      </x:c>
      <x:c r="I49" s="300" t="n">
        <x:v>5</x:v>
      </x:c>
      <x:c r="J49" s="299" t="str">
        <x:v>T-042; T-043</x:v>
      </x:c>
      <x:c r="K49" s="299" t="str">
        <x:v>Emisión segura a reintentos</x:v>
      </x:c>
      <x:c r="L49" s="299" t="str">
        <x:v>Misma clave no duplica factura</x:v>
      </x:c>
      <x:c r="M49" s="299" t="str">
        <x:v>Por hacer</x:v>
      </x:c>
    </x:row>
    <x:row r="50" ht="60" customHeight="1">
      <x:c r="A50" s="299" t="str">
        <x:v>T-045</x:v>
      </x:c>
      <x:c r="B50" s="299" t="str">
        <x:v>HU-09</x:v>
      </x:c>
      <x:c r="C50" s="299" t="str">
        <x:v>frontend</x:v>
      </x:c>
      <x:c r="D50" s="299" t="str">
        <x:v>Crear generación y consulta de factura con paciente/servicio/total y leyenda visible DEMO.</x:v>
      </x:c>
      <x:c r="E50" s="299" t="str">
        <x:v>Franco</x:v>
      </x:c>
      <x:c r="F50" s="299" t="str">
        <x:v>Día 4 — Lun</x:v>
      </x:c>
      <x:c r="G50" s="315" t="n">
        <x:v>46265.5</x:v>
      </x:c>
      <x:c r="H50" s="299" t="str">
        <x:v>P0 — Crítica</x:v>
      </x:c>
      <x:c r="I50" s="300" t="n">
        <x:v>8</x:v>
      </x:c>
      <x:c r="J50" s="299" t="str">
        <x:v>T-044; HU-11</x:v>
      </x:c>
      <x:c r="K50" s="299" t="str">
        <x:v>Pantalla de facturación</x:v>
      </x:c>
      <x:c r="L50" s="299" t="str">
        <x:v>Factura visible y descargable/imprimible</x:v>
      </x:c>
      <x:c r="M50" s="299" t="str">
        <x:v>Por hacer</x:v>
      </x:c>
    </x:row>
    <x:row r="51" ht="60" customHeight="1">
      <x:c r="A51" s="299" t="str">
        <x:v>T-046</x:v>
      </x:c>
      <x:c r="B51" s="299" t="str">
        <x:v>HU-09</x:v>
      </x:c>
      <x:c r="C51" s="299" t="str">
        <x:v>pruebas</x:v>
      </x:c>
      <x:c r="D51" s="299" t="str">
        <x:v>Cubrir tenant/paciente remotos, totales, correlativo, idempotencia y modo SIN simulado.</x:v>
      </x:c>
      <x:c r="E51" s="299" t="str">
        <x:v>Franco</x:v>
      </x:c>
      <x:c r="F51" s="299" t="str">
        <x:v>Día 4 — Lun</x:v>
      </x:c>
      <x:c r="G51" s="315" t="n">
        <x:v>46265.5</x:v>
      </x:c>
      <x:c r="H51" s="299" t="str">
        <x:v>P0 — Crítica</x:v>
      </x:c>
      <x:c r="I51" s="300" t="n">
        <x:v>5</x:v>
      </x:c>
      <x:c r="J51" s="299" t="str">
        <x:v>T-042 a T-045</x:v>
      </x:c>
      <x:c r="K51" s="299" t="str">
        <x:v>Suite de facturación</x:v>
      </x:c>
      <x:c r="L51" s="299" t="str">
        <x:v>Sin tests de contenedor omitidos</x:v>
      </x:c>
      <x:c r="M51" s="299" t="str">
        <x:v>Por hacer</x:v>
      </x:c>
    </x:row>
    <x:row r="52" ht="60" customHeight="1">
      <x:c r="A52" s="299" t="str">
        <x:v>T-047</x:v>
      </x:c>
      <x:c r="B52" s="299" t="str">
        <x:v>HU-10</x:v>
      </x:c>
      <x:c r="C52" s="299" t="str">
        <x:v>ms-gateway</x:v>
      </x:c>
      <x:c r="D52" s="299" t="str">
        <x:v>Corregir URL de Identidad y completar rutas v1 de los diez microservicios.</x:v>
      </x:c>
      <x:c r="E52" s="299" t="str">
        <x:v>Nicole</x:v>
      </x:c>
      <x:c r="F52" s="299" t="str">
        <x:v>Día 1 — Vie</x:v>
      </x:c>
      <x:c r="G52" s="315" t="n">
        <x:v>46262.5</x:v>
      </x:c>
      <x:c r="H52" s="299" t="str">
        <x:v>P0 — Crítica</x:v>
      </x:c>
      <x:c r="I52" s="300" t="n">
        <x:v>4</x:v>
      </x:c>
      <x:c r="J52" s="299" t="str">
        <x:v>HU-12</x:v>
      </x:c>
      <x:c r="K52" s="299" t="str">
        <x:v>Mapa de rutas gateway</x:v>
      </x:c>
      <x:c r="L52" s="299" t="str">
        <x:v>Smoke de ruta por servicio</x:v>
      </x:c>
      <x:c r="M52" s="299" t="str">
        <x:v>Por hacer</x:v>
      </x:c>
    </x:row>
    <x:row r="53" ht="60" customHeight="1">
      <x:c r="A53" s="299" t="str">
        <x:v>T-048</x:v>
      </x:c>
      <x:c r="B53" s="299" t="str">
        <x:v>HU-10</x:v>
      </x:c>
      <x:c r="C53" s="299" t="str">
        <x:v>ms-gateway</x:v>
      </x:c>
      <x:c r="D53" s="299" t="str">
        <x:v>Reemplazar permitAll por política explícita; validar firma, issuer, expiración y JTI/sesión.</x:v>
      </x:c>
      <x:c r="E53" s="299" t="str">
        <x:v>Nicole</x:v>
      </x:c>
      <x:c r="F53" s="299" t="str">
        <x:v>Día 2 — Sáb</x:v>
      </x:c>
      <x:c r="G53" s="315" t="n">
        <x:v>46263.5</x:v>
      </x:c>
      <x:c r="H53" s="299" t="str">
        <x:v>P0 — Crítica</x:v>
      </x:c>
      <x:c r="I53" s="300" t="n">
        <x:v>6</x:v>
      </x:c>
      <x:c r="J53" s="299" t="str">
        <x:v>T-004</x:v>
      </x:c>
      <x:c r="K53" s="299" t="str">
        <x:v>Gateway protegido</x:v>
      </x:c>
      <x:c r="L53" s="299" t="str">
        <x:v>401 común sin token/revocado</x:v>
      </x:c>
      <x:c r="M53" s="299" t="str">
        <x:v>Por hacer</x:v>
      </x:c>
    </x:row>
    <x:row r="54" ht="60" customHeight="1">
      <x:c r="A54" s="299" t="str">
        <x:v>T-049</x:v>
      </x:c>
      <x:c r="B54" s="299" t="str">
        <x:v>HU-10</x:v>
      </x:c>
      <x:c r="C54" s="299" t="str">
        <x:v>ms-gateway</x:v>
      </x:c>
      <x:c r="D54" s="299" t="str">
        <x:v>Validar/generar X-Correlation-Id y preservarlo en respuestas, errores y saltos.</x:v>
      </x:c>
      <x:c r="E54" s="299" t="str">
        <x:v>Nicole</x:v>
      </x:c>
      <x:c r="F54" s="299" t="str">
        <x:v>Día 2 — Sáb</x:v>
      </x:c>
      <x:c r="G54" s="315" t="n">
        <x:v>46263.5</x:v>
      </x:c>
      <x:c r="H54" s="299" t="str">
        <x:v>P1 — Alta</x:v>
      </x:c>
      <x:c r="I54" s="300" t="n">
        <x:v>4</x:v>
      </x:c>
      <x:c r="J54" s="299" t="str">
        <x:v>HU-12</x:v>
      </x:c>
      <x:c r="K54" s="299" t="str">
        <x:v>Trazabilidad transversal</x:v>
      </x:c>
      <x:c r="L54" s="299" t="str">
        <x:v>Mismo UUID de borde a downstream</x:v>
      </x:c>
      <x:c r="M54" s="299" t="str">
        <x:v>Por hacer</x:v>
      </x:c>
    </x:row>
    <x:row r="55" ht="60" customHeight="1">
      <x:c r="A55" s="299" t="str">
        <x:v>T-050</x:v>
      </x:c>
      <x:c r="B55" s="299" t="str">
        <x:v>HU-10</x:v>
      </x:c>
      <x:c r="C55" s="299" t="str">
        <x:v>Compose</x:v>
      </x:c>
      <x:c r="D55" s="299" t="str">
        <x:v>Crear perfiles demo-local, integrated y debug; tres redes; solo gateway publicado en integrated.</x:v>
      </x:c>
      <x:c r="E55" s="299" t="str">
        <x:v>Nicole</x:v>
      </x:c>
      <x:c r="F55" s="299" t="str">
        <x:v>Día 3 — Dom</x:v>
      </x:c>
      <x:c r="G55" s="315" t="n">
        <x:v>46264.5</x:v>
      </x:c>
      <x:c r="H55" s="299" t="str">
        <x:v>P0 — Crítica</x:v>
      </x:c>
      <x:c r="I55" s="300" t="n">
        <x:v>8</x:v>
      </x:c>
      <x:c r="J55" s="299" t="str">
        <x:v>Rutas/clientes remotos</x:v>
      </x:c>
      <x:c r="K55" s="299" t="str">
        <x:v>Compose integrado seguro</x:v>
      </x:c>
      <x:c r="L55" s="299" t="str">
        <x:v>Servicios se resuelven por DNS interno</x:v>
      </x:c>
      <x:c r="M55" s="299" t="str">
        <x:v>Por hacer</x:v>
      </x:c>
    </x:row>
    <x:row r="56" ht="60" customHeight="1">
      <x:c r="A56" s="299" t="str">
        <x:v>T-051</x:v>
      </x:c>
      <x:c r="B56" s="299" t="str">
        <x:v>HU-10</x:v>
      </x:c>
      <x:c r="C56" s="299" t="str">
        <x:v>integración</x:v>
      </x:c>
      <x:c r="D56" s="299" t="str">
        <x:v>Comprobar fallos controlados al detener Pacientes, Catálogos, Criptografía o Tenencia.</x:v>
      </x:c>
      <x:c r="E56" s="299" t="str">
        <x:v>Nicole</x:v>
      </x:c>
      <x:c r="F56" s="299" t="str">
        <x:v>Día 4 — Lun</x:v>
      </x:c>
      <x:c r="G56" s="315" t="n">
        <x:v>46265.5</x:v>
      </x:c>
      <x:c r="H56" s="299" t="str">
        <x:v>P0 — Crítica</x:v>
      </x:c>
      <x:c r="I56" s="300" t="n">
        <x:v>5</x:v>
      </x:c>
      <x:c r="J56" s="299" t="str">
        <x:v>T-050</x:v>
      </x:c>
      <x:c r="K56" s="299" t="str">
        <x:v>Matriz de resiliencia mínima</x:v>
      </x:c>
      <x:c r="L56" s="299" t="str">
        <x:v>No se sustituyen dependencias con datos inventados</x:v>
      </x:c>
      <x:c r="M56" s="299" t="str">
        <x:v>Por hacer</x:v>
      </x:c>
    </x:row>
    <x:row r="57" ht="60" customHeight="1">
      <x:c r="A57" s="299" t="str">
        <x:v>T-052</x:v>
      </x:c>
      <x:c r="B57" s="299" t="str">
        <x:v>HU-10</x:v>
      </x:c>
      <x:c r="C57" s="299" t="str">
        <x:v>integración</x:v>
      </x:c>
      <x:c r="D57" s="299" t="str">
        <x:v>Ejecutar el flujo únicamente por gateway y eliminar URLs directas del frontend.</x:v>
      </x:c>
      <x:c r="E57" s="299" t="str">
        <x:v>Nicole</x:v>
      </x:c>
      <x:c r="F57" s="299" t="str">
        <x:v>Día 4 — Lun</x:v>
      </x:c>
      <x:c r="G57" s="315" t="n">
        <x:v>46265.5</x:v>
      </x:c>
      <x:c r="H57" s="299" t="str">
        <x:v>P0 — Crítica</x:v>
      </x:c>
      <x:c r="I57" s="300" t="n">
        <x:v>5</x:v>
      </x:c>
      <x:c r="J57" s="299" t="str">
        <x:v>HU-01 a HU-09</x:v>
      </x:c>
      <x:c r="K57" s="299" t="str">
        <x:v>Frontend usa un base URL</x:v>
      </x:c>
      <x:c r="L57" s="299" t="str">
        <x:v>Network trace no llama puertos internos</x:v>
      </x:c>
      <x:c r="M57" s="299" t="str">
        <x:v>Por hacer</x:v>
      </x:c>
    </x:row>
    <x:row r="58" ht="60" customHeight="1">
      <x:c r="A58" s="299" t="str">
        <x:v>T-053</x:v>
      </x:c>
      <x:c r="B58" s="299" t="str">
        <x:v>HU-11</x:v>
      </x:c>
      <x:c r="C58" s="299" t="str">
        <x:v>Interaction Design</x:v>
      </x:c>
      <x:c r="D58" s="299" t="str">
        <x:v>Mapear el recorrido login→paciente→profesional→cita→atención→estudio→documento→aviso→factura, con decisiones y feedback de cada acción.</x:v>
      </x:c>
      <x:c r="E58" s="299" t="str">
        <x:v>Franco</x:v>
      </x:c>
      <x:c r="F58" s="299" t="str">
        <x:v>Día 1 — Vie</x:v>
      </x:c>
      <x:c r="G58" s="315" t="n">
        <x:v>46262.5</x:v>
      </x:c>
      <x:c r="H58" s="299" t="str">
        <x:v>P0 — Crítica</x:v>
      </x:c>
      <x:c r="I58" s="300" t="n">
        <x:v>4</x:v>
      </x:c>
      <x:c r="J58" s="299" t="str">
        <x:v>Sprint Goal</x:v>
      </x:c>
      <x:c r="K58" s="299" t="str">
        <x:v>Mapa de flujo y estados</x:v>
      </x:c>
      <x:c r="L58" s="299" t="str">
        <x:v>Equipo lo revisa antes de construir pantallas</x:v>
      </x:c>
      <x:c r="M58" s="299" t="str">
        <x:v>Por hacer</x:v>
      </x:c>
    </x:row>
    <x:row r="59" ht="60" customHeight="1">
      <x:c r="A59" s="299" t="str">
        <x:v>T-054</x:v>
      </x:c>
      <x:c r="B59" s="299" t="str">
        <x:v>HU-11</x:v>
      </x:c>
      <x:c r="C59" s="299" t="str">
        <x:v>Visual Design</x:v>
      </x:c>
      <x:c r="D59" s="299" t="str">
        <x:v>Definir paleta, tipografía, espaciado, componentes, jerarquía, estados y reglas de accesibilidad visual.</x:v>
      </x:c>
      <x:c r="E59" s="299" t="str">
        <x:v>Nicole</x:v>
      </x:c>
      <x:c r="F59" s="299" t="str">
        <x:v>Día 1 — Vie</x:v>
      </x:c>
      <x:c r="G59" s="315" t="n">
        <x:v>46262.5</x:v>
      </x:c>
      <x:c r="H59" s="299" t="str">
        <x:v>P1 — Alta</x:v>
      </x:c>
      <x:c r="I59" s="300" t="n">
        <x:v>4</x:v>
      </x:c>
      <x:c r="J59" s="299" t="str">
        <x:v>T-053</x:v>
      </x:c>
      <x:c r="K59" s="299" t="str">
        <x:v>Mini design system</x:v>
      </x:c>
      <x:c r="L59" s="299" t="str">
        <x:v>Contraste y componentes aprobados</x:v>
      </x:c>
      <x:c r="M59" s="299" t="str">
        <x:v>Por hacer</x:v>
      </x:c>
    </x:row>
    <x:row r="60" ht="60" customHeight="1">
      <x:c r="A60" s="299" t="str">
        <x:v>T-055</x:v>
      </x:c>
      <x:c r="B60" s="299" t="str">
        <x:v>HU-11</x:v>
      </x:c>
      <x:c r="C60" s="299" t="str">
        <x:v>Motion Design</x:v>
      </x:c>
      <x:c r="D60" s="299" t="str">
        <x:v>Definir transiciones y microinteracciones con propósito, duración, reducción de movimiento y estados loading/success/error.</x:v>
      </x:c>
      <x:c r="E60" s="299" t="str">
        <x:v>Álvaro</x:v>
      </x:c>
      <x:c r="F60" s="299" t="str">
        <x:v>Día 1 — Vie</x:v>
      </x:c>
      <x:c r="G60" s="315" t="n">
        <x:v>46262.5</x:v>
      </x:c>
      <x:c r="H60" s="299" t="str">
        <x:v>P1 — Alta</x:v>
      </x:c>
      <x:c r="I60" s="300" t="n">
        <x:v>3</x:v>
      </x:c>
      <x:c r="J60" s="299" t="str">
        <x:v>T-053; T-054</x:v>
      </x:c>
      <x:c r="K60" s="299" t="str">
        <x:v>Guía breve de movimiento</x:v>
      </x:c>
      <x:c r="L60" s="299" t="str">
        <x:v>Ninguna animación bloquea o confunde</x:v>
      </x:c>
      <x:c r="M60" s="299" t="str">
        <x:v>Por hacer</x:v>
      </x:c>
    </x:row>
    <x:row r="61" ht="60" customHeight="1">
      <x:c r="A61" s="299" t="str">
        <x:v>T-056</x:v>
      </x:c>
      <x:c r="B61" s="299" t="str">
        <x:v>HU-11</x:v>
      </x:c>
      <x:c r="C61" s="299" t="str">
        <x:v>frontend</x:v>
      </x:c>
      <x:c r="D61" s="299" t="str">
        <x:v>Crear shell, navegación por rol, cliente HTTP común, manejo de sesión, layout y componentes base.</x:v>
      </x:c>
      <x:c r="E61" s="299" t="str">
        <x:v>Jhon</x:v>
      </x:c>
      <x:c r="F61" s="299" t="str">
        <x:v>Día 1 — Vie</x:v>
      </x:c>
      <x:c r="G61" s="315" t="n">
        <x:v>46262.5</x:v>
      </x:c>
      <x:c r="H61" s="299" t="str">
        <x:v>P0 — Crítica</x:v>
      </x:c>
      <x:c r="I61" s="300" t="n">
        <x:v>8</x:v>
      </x:c>
      <x:c r="J61" s="299" t="str">
        <x:v>T-053 a T-055</x:v>
      </x:c>
      <x:c r="K61" s="299" t="str">
        <x:v>Base frontend compartida</x:v>
      </x:c>
      <x:c r="L61" s="299" t="str">
        <x:v>Todos integran sin duplicar infraestructura</x:v>
      </x:c>
      <x:c r="M61" s="299" t="str">
        <x:v>Por hacer</x:v>
      </x:c>
    </x:row>
    <x:row r="62" ht="60" customHeight="1">
      <x:c r="A62" s="299" t="str">
        <x:v>T-057</x:v>
      </x:c>
      <x:c r="B62" s="299" t="str">
        <x:v>HU-11</x:v>
      </x:c>
      <x:c r="C62" s="299" t="str">
        <x:v>frontend</x:v>
      </x:c>
      <x:c r="D62" s="299" t="str">
        <x:v>Implementar estados loading/empty/error/success y mostrar correlation ID útil en errores.</x:v>
      </x:c>
      <x:c r="E62" s="299" t="str">
        <x:v>Jhon</x:v>
      </x:c>
      <x:c r="F62" s="299" t="str">
        <x:v>Día 2 — Sáb</x:v>
      </x:c>
      <x:c r="G62" s="315" t="n">
        <x:v>46263.5</x:v>
      </x:c>
      <x:c r="H62" s="299" t="str">
        <x:v>P1 — Alta</x:v>
      </x:c>
      <x:c r="I62" s="300" t="n">
        <x:v>5</x:v>
      </x:c>
      <x:c r="J62" s="299" t="str">
        <x:v>T-056; HU-12</x:v>
      </x:c>
      <x:c r="K62" s="299" t="str">
        <x:v>Patrones de feedback</x:v>
      </x:c>
      <x:c r="L62" s="299" t="str">
        <x:v>Errores no son pantallas en blanco</x:v>
      </x:c>
      <x:c r="M62" s="299" t="str">
        <x:v>Por hacer</x:v>
      </x:c>
    </x:row>
    <x:row r="63" ht="60" customHeight="1">
      <x:c r="A63" s="299" t="str">
        <x:v>T-058</x:v>
      </x:c>
      <x:c r="B63" s="299" t="str">
        <x:v>HU-11</x:v>
      </x:c>
      <x:c r="C63" s="299" t="str">
        <x:v>revisión UX</x:v>
      </x:c>
      <x:c r="D63" s="299" t="str">
        <x:v>Realizar revisión diaria de flujo, consistencia visual y movimiento; registrar ajustes accionables.</x:v>
      </x:c>
      <x:c r="E63" s="299" t="str">
        <x:v>Franco</x:v>
      </x:c>
      <x:c r="F63" s="299" t="str">
        <x:v>Día 4 — Lun</x:v>
      </x:c>
      <x:c r="G63" s="315" t="n">
        <x:v>46265.5</x:v>
      </x:c>
      <x:c r="H63" s="299" t="str">
        <x:v>P1 — Alta</x:v>
      </x:c>
      <x:c r="I63" s="300" t="n">
        <x:v>3</x:v>
      </x:c>
      <x:c r="J63" s="299" t="str">
        <x:v>Frontend integrado</x:v>
      </x:c>
      <x:c r="K63" s="299" t="str">
        <x:v>Checklist UX consolidado</x:v>
      </x:c>
      <x:c r="L63" s="299" t="str">
        <x:v>Bloqueos de uso corregidos</x:v>
      </x:c>
      <x:c r="M63" s="299" t="str">
        <x:v>Por hacer</x:v>
      </x:c>
    </x:row>
    <x:row r="64" ht="60" customHeight="1">
      <x:c r="A64" s="299" t="str">
        <x:v>T-059</x:v>
      </x:c>
      <x:c r="B64" s="299" t="str">
        <x:v>HU-11</x:v>
      </x:c>
      <x:c r="C64" s="299" t="str">
        <x:v>revisión UX</x:v>
      </x:c>
      <x:c r="D64" s="299" t="str">
        <x:v>Validar al cierre la coherencia visual y accesibilidad de las pantallas del recorrido.</x:v>
      </x:c>
      <x:c r="E64" s="299" t="str">
        <x:v>Nicole</x:v>
      </x:c>
      <x:c r="F64" s="299" t="str">
        <x:v>Día 5 — Mar</x:v>
      </x:c>
      <x:c r="G64" s="315" t="n">
        <x:v>46266.5</x:v>
      </x:c>
      <x:c r="H64" s="299" t="str">
        <x:v>P1 — Alta</x:v>
      </x:c>
      <x:c r="I64" s="300" t="n">
        <x:v>3</x:v>
      </x:c>
      <x:c r="J64" s="299" t="str">
        <x:v>T-054; frontend completo</x:v>
      </x:c>
      <x:c r="K64" s="299" t="str">
        <x:v>Aprobación visual</x:v>
      </x:c>
      <x:c r="L64" s="299" t="str">
        <x:v>Sin inconsistencias P0/P1</x:v>
      </x:c>
      <x:c r="M64" s="299" t="str">
        <x:v>Por hacer</x:v>
      </x:c>
    </x:row>
    <x:row r="65" ht="60" customHeight="1">
      <x:c r="A65" s="299" t="str">
        <x:v>T-060</x:v>
      </x:c>
      <x:c r="B65" s="299" t="str">
        <x:v>HU-11</x:v>
      </x:c>
      <x:c r="C65" s="299" t="str">
        <x:v>revisión UX</x:v>
      </x:c>
      <x:c r="D65" s="299" t="str">
        <x:v>Validar al cierre las transiciones, feedback y preferencia reduced-motion.</x:v>
      </x:c>
      <x:c r="E65" s="299" t="str">
        <x:v>Álvaro</x:v>
      </x:c>
      <x:c r="F65" s="299" t="str">
        <x:v>Día 5 — Mar</x:v>
      </x:c>
      <x:c r="G65" s="315" t="n">
        <x:v>46266.5</x:v>
      </x:c>
      <x:c r="H65" s="299" t="str">
        <x:v>P1 — Alta</x:v>
      </x:c>
      <x:c r="I65" s="300" t="n">
        <x:v>3</x:v>
      </x:c>
      <x:c r="J65" s="299" t="str">
        <x:v>T-055; frontend completo</x:v>
      </x:c>
      <x:c r="K65" s="299" t="str">
        <x:v>Aprobación de movimiento</x:v>
      </x:c>
      <x:c r="L65" s="299" t="str">
        <x:v>Animaciones útiles y opcionales</x:v>
      </x:c>
      <x:c r="M65" s="299" t="str">
        <x:v>Por hacer</x:v>
      </x:c>
    </x:row>
    <x:row r="66" ht="60" customHeight="1">
      <x:c r="A66" s="299" t="str">
        <x:v>T-061</x:v>
      </x:c>
      <x:c r="B66" s="299" t="str">
        <x:v>HU-12</x:v>
      </x:c>
      <x:c r="C66" s="299" t="str">
        <x:v>contratos</x:v>
      </x:c>
      <x:c r="D66" s="299" t="str">
        <x:v>Crear matriz normativa método/ruta/productor/consumidor/rol y resolver rutas contradictorias.</x:v>
      </x:c>
      <x:c r="E66" s="299" t="str">
        <x:v>Juanjo</x:v>
      </x:c>
      <x:c r="F66" s="299" t="str">
        <x:v>Día 1 — Vie</x:v>
      </x:c>
      <x:c r="G66" s="315" t="n">
        <x:v>46262.5</x:v>
      </x:c>
      <x:c r="H66" s="299" t="str">
        <x:v>P0 — Crítica</x:v>
      </x:c>
      <x:c r="I66" s="300" t="n">
        <x:v>4</x:v>
      </x:c>
      <x:c r="J66" s="299" t="str">
        <x:v>Revisión conjunta</x:v>
      </x:c>
      <x:c r="K66" s="299" t="str">
        <x:v>routes-v1.md</x:v>
      </x:c>
      <x:c r="L66" s="299" t="str">
        <x:v>Gateway/frontend/tests usan la matriz</x:v>
      </x:c>
      <x:c r="M66" s="299" t="str">
        <x:v>Por hacer</x:v>
      </x:c>
    </x:row>
    <x:row r="67" ht="60" customHeight="1">
      <x:c r="A67" s="299" t="str">
        <x:v>T-062</x:v>
      </x:c>
      <x:c r="B67" s="299" t="str">
        <x:v>HU-12</x:v>
      </x:c>
      <x:c r="C67" s="299" t="str">
        <x:v>contratos</x:v>
      </x:c>
      <x:c r="D67" s="299" t="str">
        <x:v>Definir schema común de error y política única de X-Correlation-Id.</x:v>
      </x:c>
      <x:c r="E67" s="299" t="str">
        <x:v>Juanjo</x:v>
      </x:c>
      <x:c r="F67" s="299" t="str">
        <x:v>Día 1 — Vie</x:v>
      </x:c>
      <x:c r="G67" s="315" t="n">
        <x:v>46262.5</x:v>
      </x:c>
      <x:c r="H67" s="299" t="str">
        <x:v>P0 — Crítica</x:v>
      </x:c>
      <x:c r="I67" s="300" t="n">
        <x:v>3</x:v>
      </x:c>
      <x:c r="J67" s="299" t="str">
        <x:v>Guía de inducción</x:v>
      </x:c>
      <x:c r="K67" s="299" t="str">
        <x:v>error-v1.md</x:v>
      </x:c>
      <x:c r="L67" s="299" t="str">
        <x:v>Seis campos base en todos los servicios</x:v>
      </x:c>
      <x:c r="M67" s="299" t="str">
        <x:v>Por hacer</x:v>
      </x:c>
    </x:row>
    <x:row r="68" ht="60" customHeight="1">
      <x:c r="A68" s="299" t="str">
        <x:v>T-063</x:v>
      </x:c>
      <x:c r="B68" s="299" t="str">
        <x:v>HU-12</x:v>
      </x:c>
      <x:c r="C68" s="299" t="str">
        <x:v>contratos</x:v>
      </x:c>
      <x:c r="D68" s="299" t="str">
        <x:v>Actualizar OpenAPI/contratos de Identidad y Agenda y validar requests/responses con frontend.</x:v>
      </x:c>
      <x:c r="E68" s="299" t="str">
        <x:v>Álvaro</x:v>
      </x:c>
      <x:c r="F68" s="299" t="str">
        <x:v>Día 2 — Sáb</x:v>
      </x:c>
      <x:c r="G68" s="315" t="n">
        <x:v>46263.5</x:v>
      </x:c>
      <x:c r="H68" s="299" t="str">
        <x:v>P0 — Crítica</x:v>
      </x:c>
      <x:c r="I68" s="300" t="n">
        <x:v>4</x:v>
      </x:c>
      <x:c r="J68" s="299" t="str">
        <x:v>T-061; T-062</x:v>
      </x:c>
      <x:c r="K68" s="299" t="str">
        <x:v>Contratos de Álvaro</x:v>
      </x:c>
      <x:c r="L68" s="299" t="str">
        <x:v>Ejemplos ejecutables</x:v>
      </x:c>
      <x:c r="M68" s="299" t="str">
        <x:v>Por hacer</x:v>
      </x:c>
    </x:row>
    <x:row r="69" ht="60" customHeight="1">
      <x:c r="A69" s="299" t="str">
        <x:v>T-064</x:v>
      </x:c>
      <x:c r="B69" s="299" t="str">
        <x:v>HU-12</x:v>
      </x:c>
      <x:c r="C69" s="299" t="str">
        <x:v>contratos</x:v>
      </x:c>
      <x:c r="D69" s="299" t="str">
        <x:v>Actualizar OpenAPI/contratos de Tenencia, Historial y Facturación.</x:v>
      </x:c>
      <x:c r="E69" s="299" t="str">
        <x:v>Franco</x:v>
      </x:c>
      <x:c r="F69" s="299" t="str">
        <x:v>Día 2 — Sáb</x:v>
      </x:c>
      <x:c r="G69" s="315" t="n">
        <x:v>46263.5</x:v>
      </x:c>
      <x:c r="H69" s="299" t="str">
        <x:v>P0 — Crítica</x:v>
      </x:c>
      <x:c r="I69" s="300" t="n">
        <x:v>5</x:v>
      </x:c>
      <x:c r="J69" s="299" t="str">
        <x:v>T-061; T-062</x:v>
      </x:c>
      <x:c r="K69" s="299" t="str">
        <x:v>Contratos de Franco</x:v>
      </x:c>
      <x:c r="L69" s="299" t="str">
        <x:v>Consumidores revisados</x:v>
      </x:c>
      <x:c r="M69" s="299" t="str">
        <x:v>Por hacer</x:v>
      </x:c>
    </x:row>
    <x:row r="70" ht="60" customHeight="1">
      <x:c r="A70" s="299" t="str">
        <x:v>T-065</x:v>
      </x:c>
      <x:c r="B70" s="299" t="str">
        <x:v>HU-12</x:v>
      </x:c>
      <x:c r="C70" s="299" t="str">
        <x:v>contratos</x:v>
      </x:c>
      <x:c r="D70" s="299" t="str">
        <x:v>Actualizar OpenAPI/contratos de Pacientes, Documental y Gateway.</x:v>
      </x:c>
      <x:c r="E70" s="299" t="str">
        <x:v>Nicole</x:v>
      </x:c>
      <x:c r="F70" s="299" t="str">
        <x:v>Día 2 — Sáb</x:v>
      </x:c>
      <x:c r="G70" s="315" t="n">
        <x:v>46263.5</x:v>
      </x:c>
      <x:c r="H70" s="299" t="str">
        <x:v>P0 — Crítica</x:v>
      </x:c>
      <x:c r="I70" s="300" t="n">
        <x:v>5</x:v>
      </x:c>
      <x:c r="J70" s="299" t="str">
        <x:v>T-061; T-062</x:v>
      </x:c>
      <x:c r="K70" s="299" t="str">
        <x:v>Contratos de Nicole</x:v>
      </x:c>
      <x:c r="L70" s="299" t="str">
        <x:v>Consumidores revisados</x:v>
      </x:c>
      <x:c r="M70" s="299" t="str">
        <x:v>Por hacer</x:v>
      </x:c>
    </x:row>
    <x:row r="71" ht="60" customHeight="1">
      <x:c r="A71" s="299" t="str">
        <x:v>T-066</x:v>
      </x:c>
      <x:c r="B71" s="299" t="str">
        <x:v>HU-12</x:v>
      </x:c>
      <x:c r="C71" s="299" t="str">
        <x:v>contratos</x:v>
      </x:c>
      <x:c r="D71" s="299" t="str">
        <x:v>Actualizar OpenAPI/contratos de Profesionales y completar tests del error común.</x:v>
      </x:c>
      <x:c r="E71" s="299" t="str">
        <x:v>Jhon</x:v>
      </x:c>
      <x:c r="F71" s="299" t="str">
        <x:v>Día 2 — Sáb</x:v>
      </x:c>
      <x:c r="G71" s="315" t="n">
        <x:v>46263.5</x:v>
      </x:c>
      <x:c r="H71" s="299" t="str">
        <x:v>P0 — Crítica</x:v>
      </x:c>
      <x:c r="I71" s="300" t="n">
        <x:v>4</x:v>
      </x:c>
      <x:c r="J71" s="299" t="str">
        <x:v>T-061; T-062</x:v>
      </x:c>
      <x:c r="K71" s="299" t="str">
        <x:v>Contrato Profesionales</x:v>
      </x:c>
      <x:c r="L71" s="299" t="str">
        <x:v>Error/correlation conformes</x:v>
      </x:c>
      <x:c r="M71" s="299" t="str">
        <x:v>Por hacer</x:v>
      </x:c>
    </x:row>
    <x:row r="72" ht="60" customHeight="1">
      <x:c r="A72" s="299" t="str">
        <x:v>T-067</x:v>
      </x:c>
      <x:c r="B72" s="299" t="str">
        <x:v>HU-12</x:v>
      </x:c>
      <x:c r="C72" s="299" t="str">
        <x:v>contratos</x:v>
      </x:c>
      <x:c r="D72" s="299" t="str">
        <x:v>Actualizar contratos de Catálogos/Criptografía y añadir pruebas consumidor-productor críticas.</x:v>
      </x:c>
      <x:c r="E72" s="299" t="str">
        <x:v>Juanjo</x:v>
      </x:c>
      <x:c r="F72" s="299" t="str">
        <x:v>Día 3 — Dom</x:v>
      </x:c>
      <x:c r="G72" s="315" t="n">
        <x:v>46264.5</x:v>
      </x:c>
      <x:c r="H72" s="299" t="str">
        <x:v>P0 — Crítica</x:v>
      </x:c>
      <x:c r="I72" s="300" t="n">
        <x:v>6</x:v>
      </x:c>
      <x:c r="J72" s="299" t="str">
        <x:v>T-023; T-024</x:v>
      </x:c>
      <x:c r="K72" s="299" t="str">
        <x:v>Contratos y tests</x:v>
      </x:c>
      <x:c r="L72" s="299" t="str">
        <x:v>Cambios incompatibles fallan antes del merge</x:v>
      </x:c>
      <x:c r="M72" s="299" t="str">
        <x:v>Por hacer</x:v>
      </x:c>
    </x:row>
    <x:row r="73" ht="60" customHeight="1">
      <x:c r="A73" s="299" t="str">
        <x:v>T-068</x:v>
      </x:c>
      <x:c r="B73" s="299" t="str">
        <x:v>HU-13</x:v>
      </x:c>
      <x:c r="C73" s="299" t="str">
        <x:v>infra de test</x:v>
      </x:c>
      <x:c r="D73" s="299" t="str">
        <x:v>Reparar Mockito/Byte Buddy con JDK 21/21+ y definir secretos/variables seguros de test.</x:v>
      </x:c>
      <x:c r="E73" s="299" t="str">
        <x:v>Juanjo</x:v>
      </x:c>
      <x:c r="F73" s="299" t="str">
        <x:v>Día 2 — Sáb</x:v>
      </x:c>
      <x:c r="G73" s="315" t="n">
        <x:v>46263.5</x:v>
      </x:c>
      <x:c r="H73" s="299" t="str">
        <x:v>P0 — Crítica</x:v>
      </x:c>
      <x:c r="I73" s="300" t="n">
        <x:v>5</x:v>
      </x:c>
      <x:c r="J73" s="299" t="str">
        <x:v>POMs de servicios</x:v>
      </x:c>
      <x:c r="K73" s="299" t="str">
        <x:v>Configuración común documentada</x:v>
      </x:c>
      <x:c r="L73" s="299" t="str">
        <x:v>Suites antes rotas ya ejecutan</x:v>
      </x:c>
      <x:c r="M73" s="299" t="str">
        <x:v>Por hacer</x:v>
      </x:c>
    </x:row>
    <x:row r="74" ht="60" customHeight="1">
      <x:c r="A74" s="299" t="str">
        <x:v>T-069</x:v>
      </x:c>
      <x:c r="B74" s="299" t="str">
        <x:v>HU-13</x:v>
      </x:c>
      <x:c r="C74" s="299" t="str">
        <x:v>pruebas</x:v>
      </x:c>
      <x:c r="D74" s="299" t="str">
        <x:v>Ejecutar y reparar tests de Catálogos y Criptografía, incluyendo contratos remotos.</x:v>
      </x:c>
      <x:c r="E74" s="299" t="str">
        <x:v>Juanjo</x:v>
      </x:c>
      <x:c r="F74" s="299" t="str">
        <x:v>Día 4 — Lun</x:v>
      </x:c>
      <x:c r="G74" s="315" t="n">
        <x:v>46265.5</x:v>
      </x:c>
      <x:c r="H74" s="299" t="str">
        <x:v>P0 — Crítica</x:v>
      </x:c>
      <x:c r="I74" s="300" t="n">
        <x:v>5</x:v>
      </x:c>
      <x:c r="J74" s="299" t="str">
        <x:v>T-068; T-067</x:v>
      </x:c>
      <x:c r="K74" s="299" t="str">
        <x:v>Reporte Juanjo</x:v>
      </x:c>
      <x:c r="L74" s="299" t="str">
        <x:v>0 fallos y sin skips injustificados</x:v>
      </x:c>
      <x:c r="M74" s="299" t="str">
        <x:v>Por hacer</x:v>
      </x:c>
    </x:row>
    <x:row r="75" ht="60" customHeight="1">
      <x:c r="A75" s="299" t="str">
        <x:v>T-070</x:v>
      </x:c>
      <x:c r="B75" s="299" t="str">
        <x:v>HU-13</x:v>
      </x:c>
      <x:c r="C75" s="299" t="str">
        <x:v>pruebas</x:v>
      </x:c>
      <x:c r="D75" s="299" t="str">
        <x:v>Ejecutar y reparar tests de Identidad y Agenda, incluyendo tenant y revocación.</x:v>
      </x:c>
      <x:c r="E75" s="299" t="str">
        <x:v>Álvaro</x:v>
      </x:c>
      <x:c r="F75" s="299" t="str">
        <x:v>Día 4 — Lun</x:v>
      </x:c>
      <x:c r="G75" s="315" t="n">
        <x:v>46265.5</x:v>
      </x:c>
      <x:c r="H75" s="299" t="str">
        <x:v>P0 — Crítica</x:v>
      </x:c>
      <x:c r="I75" s="300" t="n">
        <x:v>5</x:v>
      </x:c>
      <x:c r="J75" s="299" t="str">
        <x:v>T-068</x:v>
      </x:c>
      <x:c r="K75" s="299" t="str">
        <x:v>Reporte Álvaro</x:v>
      </x:c>
      <x:c r="L75" s="299" t="str">
        <x:v>0 fallos y casos P0 cubiertos</x:v>
      </x:c>
      <x:c r="M75" s="299" t="str">
        <x:v>Por hacer</x:v>
      </x:c>
    </x:row>
    <x:row r="76" ht="60" customHeight="1">
      <x:c r="A76" s="299" t="str">
        <x:v>T-071</x:v>
      </x:c>
      <x:c r="B76" s="299" t="str">
        <x:v>HU-13</x:v>
      </x:c>
      <x:c r="C76" s="299" t="str">
        <x:v>pruebas</x:v>
      </x:c>
      <x:c r="D76" s="299" t="str">
        <x:v>Ejecutar y reparar tests de Tenencia, Historial y Facturación con bases reales.</x:v>
      </x:c>
      <x:c r="E76" s="299" t="str">
        <x:v>Franco</x:v>
      </x:c>
      <x:c r="F76" s="299" t="str">
        <x:v>Día 5 — Mar</x:v>
      </x:c>
      <x:c r="G76" s="315" t="n">
        <x:v>46266.5</x:v>
      </x:c>
      <x:c r="H76" s="299" t="str">
        <x:v>P0 — Crítica</x:v>
      </x:c>
      <x:c r="I76" s="300" t="n">
        <x:v>6</x:v>
      </x:c>
      <x:c r="J76" s="299" t="str">
        <x:v>T-068</x:v>
      </x:c>
      <x:c r="K76" s="299" t="str">
        <x:v>Reporte Franco</x:v>
      </x:c>
      <x:c r="L76" s="299" t="str">
        <x:v>Testcontainers ejecuta, no aparece Skipped</x:v>
      </x:c>
      <x:c r="M76" s="299" t="str">
        <x:v>Por hacer</x:v>
      </x:c>
    </x:row>
    <x:row r="77" ht="60" customHeight="1">
      <x:c r="A77" s="299" t="str">
        <x:v>T-072</x:v>
      </x:c>
      <x:c r="B77" s="299" t="str">
        <x:v>HU-13</x:v>
      </x:c>
      <x:c r="C77" s="299" t="str">
        <x:v>pruebas</x:v>
      </x:c>
      <x:c r="D77" s="299" t="str">
        <x:v>Ejecutar y reparar tests de Pacientes, Documental y Gateway.</x:v>
      </x:c>
      <x:c r="E77" s="299" t="str">
        <x:v>Nicole</x:v>
      </x:c>
      <x:c r="F77" s="299" t="str">
        <x:v>Día 5 — Mar</x:v>
      </x:c>
      <x:c r="G77" s="315" t="n">
        <x:v>46266.5</x:v>
      </x:c>
      <x:c r="H77" s="299" t="str">
        <x:v>P0 — Crítica</x:v>
      </x:c>
      <x:c r="I77" s="300" t="n">
        <x:v>6</x:v>
      </x:c>
      <x:c r="J77" s="299" t="str">
        <x:v>T-068</x:v>
      </x:c>
      <x:c r="K77" s="299" t="str">
        <x:v>Reporte Nicole</x:v>
      </x:c>
      <x:c r="L77" s="299" t="str">
        <x:v>0 fallos y cobertura de gateway</x:v>
      </x:c>
      <x:c r="M77" s="299" t="str">
        <x:v>Por hacer</x:v>
      </x:c>
    </x:row>
    <x:row r="78" ht="60" customHeight="1">
      <x:c r="A78" s="299" t="str">
        <x:v>T-073</x:v>
      </x:c>
      <x:c r="B78" s="299" t="str">
        <x:v>HU-13</x:v>
      </x:c>
      <x:c r="C78" s="299" t="str">
        <x:v>pruebas</x:v>
      </x:c>
      <x:c r="D78" s="299" t="str">
        <x:v>Ejecutar y reparar tests de Profesionales y apoyar pruebas de componentes frontend.</x:v>
      </x:c>
      <x:c r="E78" s="299" t="str">
        <x:v>Jhon</x:v>
      </x:c>
      <x:c r="F78" s="299" t="str">
        <x:v>Día 4 — Lun</x:v>
      </x:c>
      <x:c r="G78" s="315" t="n">
        <x:v>46265.5</x:v>
      </x:c>
      <x:c r="H78" s="299" t="str">
        <x:v>P0 — Crítica</x:v>
      </x:c>
      <x:c r="I78" s="300" t="n">
        <x:v>5</x:v>
      </x:c>
      <x:c r="J78" s="299" t="str">
        <x:v>T-068</x:v>
      </x:c>
      <x:c r="K78" s="299" t="str">
        <x:v>Reporte Jhon</x:v>
      </x:c>
      <x:c r="L78" s="299" t="str">
        <x:v>0 fallos y UI crítica verificada</x:v>
      </x:c>
      <x:c r="M78" s="299" t="str">
        <x:v>Por hacer</x:v>
      </x:c>
    </x:row>
    <x:row r="79" ht="60" customHeight="1">
      <x:c r="A79" s="299" t="str">
        <x:v>T-074</x:v>
      </x:c>
      <x:c r="B79" s="299" t="str">
        <x:v>HU-13</x:v>
      </x:c>
      <x:c r="C79" s="299" t="str">
        <x:v>E2E</x:v>
      </x:c>
      <x:c r="D79" s="299" t="str">
        <x:v>Automatizar seed→login→paciente→profesional→cita→atención→orden→documento→factura por gateway.</x:v>
      </x:c>
      <x:c r="E79" s="299" t="str">
        <x:v>Nicole</x:v>
      </x:c>
      <x:c r="F79" s="299" t="str">
        <x:v>Día 5 — Mar</x:v>
      </x:c>
      <x:c r="G79" s="315" t="n">
        <x:v>46266.5</x:v>
      </x:c>
      <x:c r="H79" s="299" t="str">
        <x:v>P0 — Crítica</x:v>
      </x:c>
      <x:c r="I79" s="300" t="n">
        <x:v>8</x:v>
      </x:c>
      <x:c r="J79" s="299" t="str">
        <x:v>HU-01 a HU-12</x:v>
      </x:c>
      <x:c r="K79" s="299" t="str">
        <x:v>Script E2E reproducible</x:v>
      </x:c>
      <x:c r="L79" s="299" t="str">
        <x:v>Recorrido completo termina en verde</x:v>
      </x:c>
      <x:c r="M79" s="299" t="str">
        <x:v>Por hacer</x:v>
      </x:c>
    </x:row>
    <x:row r="80" ht="60" customHeight="1">
      <x:c r="A80" s="299" t="str">
        <x:v>T-075</x:v>
      </x:c>
      <x:c r="B80" s="299" t="str">
        <x:v>HU-13</x:v>
      </x:c>
      <x:c r="C80" s="299" t="str">
        <x:v>demo</x:v>
      </x:c>
      <x:c r="D80" s="299" t="str">
        <x:v>Ejecutar checklist 15/15, capturar evidencia y registrar defectos con responsable y severidad.</x:v>
      </x:c>
      <x:c r="E80" s="299" t="str">
        <x:v>Jhon</x:v>
      </x:c>
      <x:c r="F80" s="299" t="str">
        <x:v>Día 5 — Mar</x:v>
      </x:c>
      <x:c r="G80" s="315" t="n">
        <x:v>46266.5</x:v>
      </x:c>
      <x:c r="H80" s="299" t="str">
        <x:v>P0 — Crítica</x:v>
      </x:c>
      <x:c r="I80" s="300" t="n">
        <x:v>5</x:v>
      </x:c>
      <x:c r="J80" s="299" t="str">
        <x:v>T-074</x:v>
      </x:c>
      <x:c r="K80" s="299" t="str">
        <x:v>Carpeta de evidencias</x:v>
      </x:c>
      <x:c r="L80" s="299" t="str">
        <x:v>Cada paso tiene evidencia o bug abierto</x:v>
      </x:c>
      <x:c r="M80" s="299" t="str">
        <x:v>Por hacer</x:v>
      </x:c>
    </x:row>
    <x:row r="81" ht="60" customHeight="1">
      <x:c r="A81" s="299" t="str">
        <x:v>T-076</x:v>
      </x:c>
      <x:c r="B81" s="299" t="str">
        <x:v>HU-14</x:v>
      </x:c>
      <x:c r="C81" s="299" t="str">
        <x:v>observabilidad</x:v>
      </x:c>
      <x:c r="D81" s="299" t="str">
        <x:v>Normalizar liveness/readiness incluyendo base y agregar healthchecks de Compose.</x:v>
      </x:c>
      <x:c r="E81" s="299" t="str">
        <x:v>Nicole</x:v>
      </x:c>
      <x:c r="F81" s="299" t="str">
        <x:v>Día 5 — Mar</x:v>
      </x:c>
      <x:c r="G81" s="315" t="n">
        <x:v>46266.5</x:v>
      </x:c>
      <x:c r="H81" s="299" t="str">
        <x:v>P1 — Alta</x:v>
      </x:c>
      <x:c r="I81" s="300" t="n">
        <x:v>5</x:v>
      </x:c>
      <x:c r="J81" s="299" t="str">
        <x:v>HU-10</x:v>
      </x:c>
      <x:c r="K81" s="299" t="str">
        <x:v>Estado de salud útil</x:v>
      </x:c>
      <x:c r="L81" s="299" t="str">
        <x:v>Gateway espera servicios saludables</x:v>
      </x:c>
      <x:c r="M81" s="299" t="str">
        <x:v>Por hacer</x:v>
      </x:c>
    </x:row>
    <x:row r="82" ht="60" customHeight="1">
      <x:c r="A82" s="299" t="str">
        <x:v>T-077</x:v>
      </x:c>
      <x:c r="B82" s="299" t="str">
        <x:v>HU-14</x:v>
      </x:c>
      <x:c r="C82" s="299" t="str">
        <x:v>operación</x:v>
      </x:c>
      <x:c r="D82" s="299" t="str">
        <x:v>Completar README raíz con perfiles, variables, arranque, seed, smoke, E2E y apagado limpio.</x:v>
      </x:c>
      <x:c r="E82" s="299" t="str">
        <x:v>Jhon</x:v>
      </x:c>
      <x:c r="F82" s="299" t="str">
        <x:v>Día 5 — Mar</x:v>
      </x:c>
      <x:c r="G82" s="315" t="n">
        <x:v>46266.5</x:v>
      </x:c>
      <x:c r="H82" s="299" t="str">
        <x:v>P1 — Alta</x:v>
      </x:c>
      <x:c r="I82" s="300" t="n">
        <x:v>4</x:v>
      </x:c>
      <x:c r="J82" s="299" t="str">
        <x:v>T-074</x:v>
      </x:c>
      <x:c r="K82" s="299" t="str">
        <x:v>Runbook raíz</x:v>
      </x:c>
      <x:c r="L82" s="299" t="str">
        <x:v>Otra persona reproduce el flujo</x:v>
      </x:c>
      <x:c r="M82" s="299" t="str">
        <x:v>Por hacer</x:v>
      </x:c>
    </x:row>
    <x:row r="83" ht="60" customHeight="1">
      <x:c r="A83" s="299" t="str">
        <x:v>T-078</x:v>
      </x:c>
      <x:c r="B83" s="299" t="str">
        <x:v>HU-14</x:v>
      </x:c>
      <x:c r="C83" s="299" t="str">
        <x:v>operación</x:v>
      </x:c>
      <x:c r="D83" s="299" t="str">
        <x:v>Fijar versiones de infraestructura y configurar rotación/límites básicos de logs.</x:v>
      </x:c>
      <x:c r="E83" s="299" t="str">
        <x:v>Juanjo</x:v>
      </x:c>
      <x:c r="F83" s="299" t="str">
        <x:v>Día 5 — Mar</x:v>
      </x:c>
      <x:c r="G83" s="315" t="n">
        <x:v>46266.5</x:v>
      </x:c>
      <x:c r="H83" s="299" t="str">
        <x:v>P1 — Alta</x:v>
      </x:c>
      <x:c r="I83" s="300" t="n">
        <x:v>3</x:v>
      </x:c>
      <x:c r="J83" s="299" t="str">
        <x:v>Compose</x:v>
      </x:c>
      <x:c r="K83" s="299" t="str">
        <x:v>Compose reproducible</x:v>
      </x:c>
      <x:c r="L83" s="299" t="str">
        <x:v>No usa imágenes latest</x:v>
      </x:c>
      <x:c r="M83" s="299" t="str">
        <x:v>Por hacer</x:v>
      </x:c>
    </x:row>
    <x:row r="84" ht="60" customHeight="1">
      <x:c r="A84" s="299" t="str">
        <x:v>T-079</x:v>
      </x:c>
      <x:c r="B84" s="299" t="str">
        <x:v>HU-14</x:v>
      </x:c>
      <x:c r="C84" s="299" t="str">
        <x:v>ensayo</x:v>
      </x:c>
      <x:c r="D84" s="299" t="str">
        <x:v>Levantar desde cero con perfil integrated y realizar ensayo cronometrado con plan de contingencia.</x:v>
      </x:c>
      <x:c r="E84" s="299" t="str">
        <x:v>Franco</x:v>
      </x:c>
      <x:c r="F84" s="299" t="str">
        <x:v>Día 5 — Mar</x:v>
      </x:c>
      <x:c r="G84" s="315" t="n">
        <x:v>46266.5</x:v>
      </x:c>
      <x:c r="H84" s="299" t="str">
        <x:v>P1 — Alta</x:v>
      </x:c>
      <x:c r="I84" s="300" t="n">
        <x:v>4</x:v>
      </x:c>
      <x:c r="J84" s="299" t="str">
        <x:v>T-074; T-076; T-077</x:v>
      </x:c>
      <x:c r="K84" s="299" t="str">
        <x:v>Acta de ensayo</x:v>
      </x:c>
      <x:c r="L84" s="299" t="str">
        <x:v>Demo completa sin puertos internos</x:v>
      </x:c>
      <x:c r="M84" s="299" t="str">
        <x:v>Por hacer</x:v>
      </x:c>
    </x:row>
  </x:sheetData>
  <x:mergeCells>
    <x:mergeCell ref="A1:M2"/>
    <x:mergeCell ref="A3:M3"/>
  </x:mergeCells>
  <x:conditionalFormatting sqref="H6:H84">
    <x:cfRule type="containsText" dxfId="5" priority="1" operator="containsText" text="P0"/>
    <x:cfRule type="containsText" dxfId="6" priority="2" operator="containsText" text="P1"/>
  </x:conditionalFormatting>
  <x:conditionalFormatting sqref="M6:M84">
    <x:cfRule type="containsText" dxfId="7" priority="3" operator="containsText" text="Bloqueada"/>
    <x:cfRule type="containsText" dxfId="8" priority="4" operator="containsText" text="Hecho"/>
  </x:conditionalFormatting>
  <x:dataValidations count="3">
    <x:dataValidation type="list" sqref="E6:E84">
      <x:formula1>"Juanjo,Franco,Álvaro,Nicole,Jhon"</x:formula1>
    </x:dataValidation>
    <x:dataValidation type="list" sqref="H6:H84">
      <x:formula1>"P0 — Crítica,P1 — Alta,P2 — Media"</x:formula1>
    </x:dataValidation>
    <x:dataValidation type="list" sqref="M6:M84">
      <x:formula1>"Por hacer,En curso,Bloqueada,En revisión,Hecho"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4bbb244e1544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28" hidden="0" customWidth="1"/>
    <x:col min="5" max="5" width="30" hidden="0" customWidth="1"/>
    <x:col min="6" max="6" width="28" hidden="0" customWidth="1"/>
    <x:col min="7" max="7" width="32" hidden="0" customWidth="1"/>
    <x:col min="8" max="8" width="28" hidden="0" customWidth="1"/>
    <x:col min="9" max="9" width="36" hidden="0" customWidth="1"/>
  </x:cols>
  <x:sheetData>
    <x:row r="1" ht="38" customHeight="1">
      <x:c r="A1" s="321" t="str">
        <x:v>Plan diario de cinco días</x:v>
      </x:c>
      <x:c r="B1" s="321" t="str">
        <x:v>Plan diario de cinco días</x:v>
      </x:c>
      <x:c r="C1" s="321" t="str">
        <x:v>Plan diario de cinco días</x:v>
      </x:c>
      <x:c r="D1" s="321" t="str">
        <x:v>Plan diario de cinco días</x:v>
      </x:c>
      <x:c r="E1" s="321" t="str">
        <x:v>Plan diario de cinco días</x:v>
      </x:c>
      <x:c r="F1" s="321" t="str">
        <x:v>Plan diario de cinco días</x:v>
      </x:c>
      <x:c r="G1" s="321" t="str">
        <x:v>Plan diario de cinco días</x:v>
      </x:c>
      <x:c r="H1" s="321" t="str">
        <x:v>Plan diario de cinco días</x:v>
      </x:c>
      <x:c r="I1" s="321" t="str">
        <x:v>Plan diario de cinco días</x:v>
      </x:c>
    </x:row>
    <x:row r="2" ht="38" customHeight="1">
      <x:c r="A2" s="321" t="str">
        <x:v>Plan diario de cinco días</x:v>
      </x:c>
      <x:c r="B2" s="321" t="str">
        <x:v>Plan diario de cinco días</x:v>
      </x:c>
      <x:c r="C2" s="321" t="str">
        <x:v>Plan diario de cinco días</x:v>
      </x:c>
      <x:c r="D2" s="321" t="str">
        <x:v>Plan diario de cinco días</x:v>
      </x:c>
      <x:c r="E2" s="321" t="str">
        <x:v>Plan diario de cinco días</x:v>
      </x:c>
      <x:c r="F2" s="321" t="str">
        <x:v>Plan diario de cinco días</x:v>
      </x:c>
      <x:c r="G2" s="321" t="str">
        <x:v>Plan diario de cinco días</x:v>
      </x:c>
      <x:c r="H2" s="321" t="str">
        <x:v>Plan diario de cinco días</x:v>
      </x:c>
      <x:c r="I2" s="321" t="str">
        <x:v>Plan diario de cinco días</x:v>
      </x:c>
    </x:row>
    <x:row r="3" ht="30" customHeight="1">
      <x:c r="A3" s="245" t="str">
        <x:v>Foco por persona y checkpoint de integración. El cierre diario debe dejar evidencia, bloqueos y decisión de recorte.</x:v>
      </x:c>
      <x:c r="B3" s="245" t="str">
        <x:v>Foco por persona y checkpoint de integración. El cierre diario debe dejar evidencia, bloqueos y decisión de recorte.</x:v>
      </x:c>
      <x:c r="C3" s="245" t="str">
        <x:v>Foco por persona y checkpoint de integración. El cierre diario debe dejar evidencia, bloqueos y decisión de recorte.</x:v>
      </x:c>
      <x:c r="D3" s="245" t="str">
        <x:v>Foco por persona y checkpoint de integración. El cierre diario debe dejar evidencia, bloqueos y decisión de recorte.</x:v>
      </x:c>
      <x:c r="E3" s="245" t="str">
        <x:v>Foco por persona y checkpoint de integración. El cierre diario debe dejar evidencia, bloqueos y decisión de recorte.</x:v>
      </x:c>
      <x:c r="F3" s="245" t="str">
        <x:v>Foco por persona y checkpoint de integración. El cierre diario debe dejar evidencia, bloqueos y decisión de recorte.</x:v>
      </x:c>
      <x:c r="G3" s="245" t="str">
        <x:v>Foco por persona y checkpoint de integración. El cierre diario debe dejar evidencia, bloqueos y decisión de recorte.</x:v>
      </x:c>
      <x:c r="H3" s="245" t="str">
        <x:v>Foco por persona y checkpoint de integración. El cierre diario debe dejar evidencia, bloqueos y decisión de recorte.</x:v>
      </x:c>
      <x:c r="I3" s="245" t="str">
        <x:v>Foco por persona y checkpoint de integración. El cierre diario debe dejar evidencia, bloqueos y decisión de recorte.</x:v>
      </x:c>
    </x:row>
    <x:row r="4">
      <x:c r="A4" s="246"/>
      <x:c r="B4" s="246"/>
      <x:c r="C4" s="246"/>
      <x:c r="D4" s="246"/>
      <x:c r="E4" s="246"/>
      <x:c r="F4" s="246"/>
      <x:c r="G4" s="246"/>
      <x:c r="H4" s="246"/>
      <x:c r="I4" s="246"/>
    </x:row>
    <x:row r="5" ht="32" customHeight="1">
      <x:c r="A5" s="295" t="str">
        <x:v>Fecha</x:v>
      </x:c>
      <x:c r="B5" s="295" t="str">
        <x:v>Día</x:v>
      </x:c>
      <x:c r="C5" s="295" t="str">
        <x:v>Foco común</x:v>
      </x:c>
      <x:c r="D5" s="295" t="str">
        <x:v>Álvaro</x:v>
      </x:c>
      <x:c r="E5" s="295" t="str">
        <x:v>Franco</x:v>
      </x:c>
      <x:c r="F5" s="295" t="str">
        <x:v>Juanjo</x:v>
      </x:c>
      <x:c r="G5" s="295" t="str">
        <x:v>Nicole</x:v>
      </x:c>
      <x:c r="H5" s="295" t="str">
        <x:v>Jhon</x:v>
      </x:c>
      <x:c r="I5" s="295" t="str">
        <x:v>Checkpoint del día</x:v>
      </x:c>
    </x:row>
    <x:row r="6" ht="92" customHeight="1">
      <x:c r="A6" s="315" t="n">
        <x:v>46262.5</x:v>
      </x:c>
      <x:c r="B6" s="299" t="str">
        <x:v>Viernes 28</x:v>
      </x:c>
      <x:c r="C6" s="299" t="str">
        <x:v>Contratos, seguridad P0 y base frontend</x:v>
      </x:c>
      <x:c r="D6" s="299" t="str">
        <x:v>Alinear tenant; tenant isolation; ruta Agenda; guía motion</x:v>
      </x:c>
      <x:c r="E6" s="299" t="str">
        <x:v>Flujo Interaction; contratos clínicos; clientes Facturación; tenant Tenencia</x:v>
      </x:c>
      <x:c r="F6" s="299" t="str">
        <x:v>Catálogos/estudios; matriz rutas/errores</x:v>
      </x:c>
      <x:c r="G6" s="299" t="str">
        <x:v>Paciente tenant; rutas gateway; design system</x:v>
      </x:c>
      <x:c r="H6" s="299" t="str">
        <x:v>Seguridad Profesionales; frontend shell</x:v>
      </x:c>
      <x:c r="I6" s="299" t="str">
        <x:v>Contratos congelados, login base y frontend arrancando</x:v>
      </x:c>
    </x:row>
    <x:row r="7" ht="92" customHeight="1">
      <x:c r="A7" s="315" t="n">
        <x:v>46263.5</x:v>
      </x:c>
      <x:c r="B7" s="299" t="str">
        <x:v>Sábado 29</x:v>
      </x:c>
      <x:c r="C7" s="299" t="str">
        <x:v>Integraciones remotas y primeras pantallas</x:v>
      </x:c>
      <x:c r="D7" s="299" t="str">
        <x:v>JTI; Agenda remota; login; OpenAPI</x:v>
      </x:c>
      <x:c r="E7" s="299" t="str">
        <x:v>Crypto/Catálogos remotos; Tenencia remota; OpenAPI</x:v>
      </x:c>
      <x:c r="F7" s="299" t="str">
        <x:v>Crypto por tenant; infra Mockito</x:v>
      </x:c>
      <x:c r="G7" s="299" t="str">
        <x:v>Gateway JWT; Pacientes UI; Documental/MinIO; OpenAPI</x:v>
      </x:c>
      <x:c r="H7" s="299" t="str">
        <x:v>Profesionales UI; feedback común; OpenAPI</x:v>
      </x:c>
      <x:c r="I7" s="299" t="str">
        <x:v>Paciente/profesional/login operables; dependencias remotas activas</x:v>
      </x:c>
    </x:row>
    <x:row r="8" ht="92" customHeight="1">
      <x:c r="A8" s="315" t="n">
        <x:v>46264.5</x:v>
      </x:c>
      <x:c r="B8" s="299" t="str">
        <x:v>Domingo 30</x:v>
      </x:c>
      <x:c r="C8" s="299" t="str">
        <x:v>Cerrar cita, atención, orden y documento</x:v>
      </x:c>
      <x:c r="D8" s="299" t="str">
        <x:v>Agenda UI/tests; seguimiento de estudio</x:v>
      </x:c>
      <x:c r="E8" s="299" t="str">
        <x:v>Atención/orden/UI clínica; Facturación idempotente</x:v>
      </x:c>
      <x:c r="F8" s="299" t="str">
        <x:v>Contratos y tests consumidor-productor</x:v>
      </x:c>
      <x:c r="G8" s="299" t="str">
        <x:v>Compose integrated; Documento UI; pruebas Pacientes</x:v>
      </x:c>
      <x:c r="H8" s="299" t="str">
        <x:v>Pruebas Profesionales; soporte de componentes</x:v>
      </x:c>
      <x:c r="I8" s="299" t="str">
        <x:v>Vertical slice hasta documento en perfil integrated</x:v>
      </x:c>
    </x:row>
    <x:row r="9" ht="92" customHeight="1">
      <x:c r="A9" s="315" t="n">
        <x:v>46265.5</x:v>
      </x:c>
      <x:c r="B9" s="299" t="str">
        <x:v>Lunes 31</x:v>
      </x:c>
      <x:c r="C9" s="299" t="str">
        <x:v>Facturación, entrega manual e integración completa</x:v>
      </x:c>
      <x:c r="D9" s="299" t="str">
        <x:v>Tests Identidad/Agenda</x:v>
      </x:c>
      <x:c r="E9" s="299" t="str">
        <x:v>Factura UI/tests; estudio; tests clínicos; revisión Interaction</x:v>
      </x:c>
      <x:c r="F9" s="299" t="str">
        <x:v>Tests Catálogos/Crypto</x:v>
      </x:c>
      <x:c r="G9" s="299" t="str">
        <x:v>Gateway E2E; handoff WhatsApp; tests Documental</x:v>
      </x:c>
      <x:c r="H9" s="299" t="str">
        <x:v>Tests Profesionales; revisión frontend y apoyo E2E</x:v>
      </x:c>
      <x:c r="I9" s="299" t="str">
        <x:v>Flujo completo ejecutado una vez; defectos P0 visibles</x:v>
      </x:c>
    </x:row>
    <x:row r="10" ht="92" customHeight="1">
      <x:c r="A10" s="315" t="n">
        <x:v>46266.5</x:v>
      </x:c>
      <x:c r="B10" s="299" t="str">
        <x:v>Martes 1</x:v>
      </x:c>
      <x:c r="C10" s="299" t="str">
        <x:v>Regresión, evidencia y ensayo</x:v>
      </x:c>
      <x:c r="D10" s="299" t="str">
        <x:v>Cierre motion; corregir regresiones</x:v>
      </x:c>
      <x:c r="E10" s="299" t="str">
        <x:v>Tests 3 servicios; ensayo y contingencia</x:v>
      </x:c>
      <x:c r="F10" s="299" t="str">
        <x:v>Versiones/logs; apoyo correcciones</x:v>
      </x:c>
      <x:c r="G10" s="299" t="str">
        <x:v>Tests 3 servicios; E2E; visual final; healthchecks</x:v>
      </x:c>
      <x:c r="H10" s="299" t="str">
        <x:v>Checklist 15/15; README; evidencias</x:v>
      </x:c>
      <x:c r="I10" s="299" t="str">
        <x:v>Cero P0 abiertos o decisión explícita de recorte</x:v>
      </x:c>
    </x:row>
    <x:row r="11">
      <x:c r="A11" s="246"/>
      <x:c r="B11" s="246"/>
      <x:c r="C11" s="246"/>
      <x:c r="D11" s="246"/>
      <x:c r="E11" s="246"/>
      <x:c r="F11" s="246"/>
      <x:c r="G11" s="246"/>
      <x:c r="H11" s="246"/>
      <x:c r="I11" s="246"/>
    </x:row>
    <x:row r="12">
      <x:c r="A12" s="316" t="str">
        <x:v>Ritual diario (máximo 20 min al inicio + 15 min al cierre)</x:v>
      </x:c>
      <x:c r="B12" s="316" t="str">
        <x:v>Ritual diario (máximo 20 min al inicio + 15 min al cierre)</x:v>
      </x:c>
      <x:c r="C12" s="316" t="str">
        <x:v>Ritual diario (máximo 20 min al inicio + 15 min al cierre)</x:v>
      </x:c>
      <x:c r="D12" s="316" t="str">
        <x:v>Ritual diario (máximo 20 min al inicio + 15 min al cierre)</x:v>
      </x:c>
      <x:c r="E12" s="316" t="str">
        <x:v>Ritual diario (máximo 20 min al inicio + 15 min al cierre)</x:v>
      </x:c>
      <x:c r="F12" s="316" t="str">
        <x:v>Ritual diario (máximo 20 min al inicio + 15 min al cierre)</x:v>
      </x:c>
      <x:c r="G12" s="316" t="str">
        <x:v>Ritual diario (máximo 20 min al inicio + 15 min al cierre)</x:v>
      </x:c>
      <x:c r="H12" s="316" t="str">
        <x:v>Ritual diario (máximo 20 min al inicio + 15 min al cierre)</x:v>
      </x:c>
      <x:c r="I12" s="316" t="str">
        <x:v>Ritual diario (máximo 20 min al inicio + 15 min al cierre)</x:v>
      </x:c>
    </x:row>
    <x:row r="13">
      <x:c r="A13" s="293" t="str">
        <x:v>Inicio</x:v>
      </x:c>
      <x:c r="B13" s="293" t="str">
        <x:v>Cada persona: qué HU cerraré hoy</x:v>
      </x:c>
      <x:c r="C13" s="293" t="str">
        <x:v>Bloqueos</x:v>
      </x:c>
      <x:c r="D13" s="293" t="str">
        <x:v>Contrato necesario</x:v>
      </x:c>
      <x:c r="E13" s="293" t="str">
        <x:v>Evidencia que produciré</x:v>
      </x:c>
      <x:c r="F13" s="293" t="str">
        <x:v>Tech Lead</x:v>
      </x:c>
      <x:c r="G13" s="293" t="str">
        <x:v>Ordena dependencias</x:v>
      </x:c>
      <x:c r="H13" s="293" t="str">
        <x:v>Roles UX</x:v>
      </x:c>
      <x:c r="I13" s="293" t="str">
        <x:v>Anticipan revisión</x:v>
      </x:c>
    </x:row>
    <x:row r="14">
      <x:c r="A14" s="293" t="str">
        <x:v>Mitad</x:v>
      </x:c>
      <x:c r="B14" s="293" t="str">
        <x:v>Integrar temprano</x:v>
      </x:c>
      <x:c r="C14" s="293" t="str">
        <x:v>No esperar al final</x:v>
      </x:c>
      <x:c r="D14" s="293" t="str">
        <x:v>Usar gateway</x:v>
      </x:c>
      <x:c r="E14" s="293" t="str">
        <x:v>Abrir bug con severidad</x:v>
      </x:c>
      <x:c r="F14" s="293" t="str">
        <x:v>Tech Lead</x:v>
      </x:c>
      <x:c r="G14" s="293" t="str">
        <x:v>Decide recorte</x:v>
      </x:c>
      <x:c r="H14" s="293" t="str">
        <x:v>Roles UX</x:v>
      </x:c>
      <x:c r="I14" s="293" t="str">
        <x:v>Revisan slice usable</x:v>
      </x:c>
    </x:row>
    <x:row r="15">
      <x:c r="A15" s="293" t="str">
        <x:v>Cierre</x:v>
      </x:c>
      <x:c r="B15" s="293" t="str">
        <x:v>Actualizar Estado</x:v>
      </x:c>
      <x:c r="C15" s="293" t="str">
        <x:v>Adjuntar evidencia</x:v>
      </x:c>
      <x:c r="D15" s="293" t="str">
        <x:v>Registrar pruebas</x:v>
      </x:c>
      <x:c r="E15" s="293" t="str">
        <x:v>Declarar bloqueo</x:v>
      </x:c>
      <x:c r="F15" s="293" t="str">
        <x:v>Tech Lead</x:v>
      </x:c>
      <x:c r="G15" s="293" t="str">
        <x:v>Aprueba P0</x:v>
      </x:c>
      <x:c r="H15" s="293" t="str">
        <x:v>Roles UX</x:v>
      </x:c>
      <x:c r="I15" s="293" t="str">
        <x:v>Aprueban o dejan ajustes</x:v>
      </x:c>
    </x:row>
    <x:row r="16">
      <x:c r="A16" s="293" t="str">
        <x:v>Regla</x:v>
      </x:c>
      <x:c r="B16" s="293" t="str">
        <x:v>No más de una tarea En curso por persona</x:v>
      </x:c>
      <x:c r="C16" s="293" t="str">
        <x:v>P0 primero</x:v>
      </x:c>
      <x:c r="D16" s="293" t="str">
        <x:v>Sin contrato no integrar</x:v>
      </x:c>
      <x:c r="E16" s="293" t="str">
        <x:v>Sin evidencia no Hecho</x:v>
      </x:c>
      <x:c r="F16" s="293" t="str"/>
      <x:c r="G16" s="293" t="str"/>
      <x:c r="H16" s="293" t="str"/>
      <x:c r="I16" s="293" t="str"/>
    </x:row>
  </x:sheetData>
  <x:mergeCells>
    <x:mergeCell ref="A1:I2"/>
    <x:mergeCell ref="A3:I3"/>
    <x:mergeCell ref="A12:I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38" hidden="0" customWidth="1"/>
    <x:col min="4" max="4" width="30" hidden="0" customWidth="1"/>
    <x:col min="5" max="5" width="34" hidden="0" customWidth="1"/>
    <x:col min="6" max="6" width="30" hidden="0" customWidth="1"/>
    <x:col min="7" max="7" width="34" hidden="0" customWidth="1"/>
  </x:cols>
  <x:sheetData>
    <x:row r="1" ht="38" customHeight="1">
      <x:c r="A1" s="321" t="str">
        <x:v>Roles transversales de producto y experiencia</x:v>
      </x:c>
      <x:c r="B1" s="321" t="str">
        <x:v>Roles transversales de producto y experiencia</x:v>
      </x:c>
      <x:c r="C1" s="321" t="str">
        <x:v>Roles transversales de producto y experiencia</x:v>
      </x:c>
      <x:c r="D1" s="321" t="str">
        <x:v>Roles transversales de producto y experiencia</x:v>
      </x:c>
      <x:c r="E1" s="321" t="str">
        <x:v>Roles transversales de producto y experiencia</x:v>
      </x:c>
      <x:c r="F1" s="321" t="str">
        <x:v>Roles transversales de producto y experiencia</x:v>
      </x:c>
      <x:c r="G1" s="321" t="str">
        <x:v>Roles transversales de producto y experiencia</x:v>
      </x:c>
    </x:row>
    <x:row r="2" ht="38" customHeight="1">
      <x:c r="A2" s="321" t="str">
        <x:v>Roles transversales de producto y experiencia</x:v>
      </x:c>
      <x:c r="B2" s="321" t="str">
        <x:v>Roles transversales de producto y experiencia</x:v>
      </x:c>
      <x:c r="C2" s="321" t="str">
        <x:v>Roles transversales de producto y experiencia</x:v>
      </x:c>
      <x:c r="D2" s="321" t="str">
        <x:v>Roles transversales de producto y experiencia</x:v>
      </x:c>
      <x:c r="E2" s="321" t="str">
        <x:v>Roles transversales de producto y experiencia</x:v>
      </x:c>
      <x:c r="F2" s="321" t="str">
        <x:v>Roles transversales de producto y experiencia</x:v>
      </x:c>
      <x:c r="G2" s="321" t="str">
        <x:v>Roles transversales de producto y experiencia</x:v>
      </x:c>
    </x:row>
    <x:row r="3" ht="30" customHeight="1">
      <x:c r="A3" s="245" t="str">
        <x:v>Estos roles piensan la experiencia antes de construir, la revisan durante el sprint y la validan al final. No cambian la propiedad técnica de los servicios.</x:v>
      </x:c>
      <x:c r="B3" s="245" t="str">
        <x:v>Estos roles piensan la experiencia antes de construir, la revisan durante el sprint y la validan al final. No cambian la propiedad técnica de los servicios.</x:v>
      </x:c>
      <x:c r="C3" s="245" t="str">
        <x:v>Estos roles piensan la experiencia antes de construir, la revisan durante el sprint y la validan al final. No cambian la propiedad técnica de los servicios.</x:v>
      </x:c>
      <x:c r="D3" s="245" t="str">
        <x:v>Estos roles piensan la experiencia antes de construir, la revisan durante el sprint y la validan al final. No cambian la propiedad técnica de los servicios.</x:v>
      </x:c>
      <x:c r="E3" s="245" t="str">
        <x:v>Estos roles piensan la experiencia antes de construir, la revisan durante el sprint y la validan al final. No cambian la propiedad técnica de los servicios.</x:v>
      </x:c>
      <x:c r="F3" s="245" t="str">
        <x:v>Estos roles piensan la experiencia antes de construir, la revisan durante el sprint y la validan al final. No cambian la propiedad técnica de los servicios.</x:v>
      </x:c>
      <x:c r="G3" s="245" t="str">
        <x:v>Estos roles piensan la experiencia antes de construir, la revisan durante el sprint y la validan al final. No cambian la propiedad técnica de los servicios.</x:v>
      </x:c>
    </x:row>
    <x:row r="4">
      <x:c r="A4" s="246"/>
      <x:c r="B4" s="246"/>
      <x:c r="C4" s="246"/>
      <x:c r="D4" s="246"/>
      <x:c r="E4" s="246"/>
      <x:c r="F4" s="246"/>
      <x:c r="G4" s="246"/>
    </x:row>
    <x:row r="5" ht="32" customHeight="1">
      <x:c r="A5" s="295" t="str">
        <x:v>Rol</x:v>
      </x:c>
      <x:c r="B5" s="295" t="str">
        <x:v>Asignado a</x:v>
      </x:c>
      <x:c r="C5" s="295" t="str">
        <x:v>Responsabilidad</x:v>
      </x:c>
      <x:c r="D5" s="295" t="str">
        <x:v>Inicio del sprint</x:v>
      </x:c>
      <x:c r="E5" s="295" t="str">
        <x:v>Durante el sprint</x:v>
      </x:c>
      <x:c r="F5" s="295" t="str">
        <x:v>Cierre</x:v>
      </x:c>
      <x:c r="G5" s="295" t="str">
        <x:v>Límite / nota</x:v>
      </x:c>
    </x:row>
    <x:row r="6" ht="86" customHeight="1">
      <x:c r="A6" s="299" t="str">
        <x:v>Tech Lead</x:v>
      </x:c>
      <x:c r="B6" s="299" t="str">
        <x:v>Franco</x:v>
      </x:c>
      <x:c r="C6" s="299" t="str">
        <x:v>Decisiones técnicas, secuencia de integración, revisión de PR críticos y control de deuda que amenaza el Sprint Goal.</x:v>
      </x:c>
      <x:c r="D6" s="299" t="str">
        <x:v>Define reglas técnicas y aprueba contratos P0.</x:v>
      </x:c>
      <x:c r="E6" s="299" t="str">
        <x:v>Desbloquea dependencias y revisa integración diaria.</x:v>
      </x:c>
      <x:c r="F6" s="299" t="str">
        <x:v>Aprueba arquitectura ejecutada y plan de contingencia.</x:v>
      </x:c>
      <x:c r="G6" s="299" t="str">
        <x:v>No reemplaza al dueño de cada microservicio.</x:v>
      </x:c>
    </x:row>
    <x:row r="7" ht="86" customHeight="1">
      <x:c r="A7" s="299" t="str">
        <x:v>Interaction Designer</x:v>
      </x:c>
      <x:c r="B7" s="299" t="str">
        <x:v>Franco</x:v>
      </x:c>
      <x:c r="C7" s="299" t="str">
        <x:v>Diseña el flujo: qué ocurre después de cada pantalla/acción, qué espera el usuario y cómo se recupera de errores.</x:v>
      </x:c>
      <x:c r="D7" s="299" t="str">
        <x:v>Entrega mapa del recorrido y estados por acción.</x:v>
      </x:c>
      <x:c r="E7" s="299" t="str">
        <x:v>Revisa que cada slice siga el flujo acordado.</x:v>
      </x:c>
      <x:c r="F7" s="299" t="str">
        <x:v>Valida que una persona complete la demo sin explicación técnica.</x:v>
      </x:c>
      <x:c r="G7" s="299" t="str">
        <x:v>Prioriza claridad y feedback sobre cantidad de pantallas.</x:v>
      </x:c>
    </x:row>
    <x:row r="8" ht="86" customHeight="1">
      <x:c r="A8" s="299" t="str">
        <x:v>Visual Designer</x:v>
      </x:c>
      <x:c r="B8" s="299" t="str">
        <x:v>Nicole</x:v>
      </x:c>
      <x:c r="C8" s="299" t="str">
        <x:v>Cuida color, tipografía, jerarquía, componentes, accesibilidad y percepción de consistencia.</x:v>
      </x:c>
      <x:c r="D8" s="299" t="str">
        <x:v>Entrega mini design system y ejemplos de estados.</x:v>
      </x:c>
      <x:c r="E8" s="299" t="str">
        <x:v>Revisa pantallas nuevas y corrige desviaciones visibles.</x:v>
      </x:c>
      <x:c r="F8" s="299" t="str">
        <x:v>Da aprobación visual y de contraste del recorrido.</x:v>
      </x:c>
      <x:c r="G8" s="299" t="str">
        <x:v>Rol sorteado entre Juanjo, Álvaro, Nicole y Jhon.</x:v>
      </x:c>
    </x:row>
    <x:row r="9" ht="86" customHeight="1">
      <x:c r="A9" s="299" t="str">
        <x:v>Motion Designer</x:v>
      </x:c>
      <x:c r="B9" s="299" t="str">
        <x:v>Álvaro</x:v>
      </x:c>
      <x:c r="C9" s="299" t="str">
        <x:v>Define transiciones y microinteracciones que explican cambios de estado sin distraer ni bloquear.</x:v>
      </x:c>
      <x:c r="D9" s="299" t="str">
        <x:v>Entrega guía de movimiento, duraciones y reduced-motion.</x:v>
      </x:c>
      <x:c r="E9" s="299" t="str">
        <x:v>Revisa loading, éxito, error y cambios entre vistas.</x:v>
      </x:c>
      <x:c r="F9" s="299" t="str">
        <x:v>Aprueba coherencia y accesibilidad del movimiento.</x:v>
      </x:c>
      <x:c r="G9" s="299" t="str">
        <x:v>Rol sorteado entre Juanjo, Álvaro, Nicole y Jhon.</x:v>
      </x:c>
    </x:row>
    <x:row r="10">
      <x:c r="A10" s="246"/>
      <x:c r="B10" s="246"/>
      <x:c r="C10" s="246"/>
      <x:c r="D10" s="246"/>
      <x:c r="E10" s="246"/>
      <x:c r="F10" s="246"/>
      <x:c r="G10" s="246"/>
    </x:row>
    <x:row r="11">
      <x:c r="A11" s="317" t="str">
        <x:v>Sorteo realizado sin repetición entre Juanjo, Álvaro, Nicole y Jhon: Visual Designer → Nicole; Motion Designer → Álvaro.</x:v>
      </x:c>
      <x:c r="B11" s="318" t="str">
        <x:v>Sorteo realizado sin repetición entre Juanjo, Álvaro, Nicole y Jhon: Visual Designer → Nicole; Motion Designer → Álvaro.</x:v>
      </x:c>
      <x:c r="C11" s="318" t="str">
        <x:v>Sorteo realizado sin repetición entre Juanjo, Álvaro, Nicole y Jhon: Visual Designer → Nicole; Motion Designer → Álvaro.</x:v>
      </x:c>
      <x:c r="D11" s="318" t="str">
        <x:v>Sorteo realizado sin repetición entre Juanjo, Álvaro, Nicole y Jhon: Visual Designer → Nicole; Motion Designer → Álvaro.</x:v>
      </x:c>
      <x:c r="E11" s="318" t="str">
        <x:v>Sorteo realizado sin repetición entre Juanjo, Álvaro, Nicole y Jhon: Visual Designer → Nicole; Motion Designer → Álvaro.</x:v>
      </x:c>
      <x:c r="F11" s="318" t="str">
        <x:v>Sorteo realizado sin repetición entre Juanjo, Álvaro, Nicole y Jhon: Visual Designer → Nicole; Motion Designer → Álvaro.</x:v>
      </x:c>
      <x:c r="G11" s="319" t="str">
        <x:v>Sorteo realizado sin repetición entre Juanjo, Álvaro, Nicole y Jhon: Visual Designer → Nicole; Motion Designer → Álvaro.</x:v>
      </x:c>
    </x:row>
    <x:row r="12">
      <x:c r="A12" s="246"/>
      <x:c r="B12" s="246"/>
      <x:c r="C12" s="246"/>
      <x:c r="D12" s="246"/>
      <x:c r="E12" s="246"/>
      <x:c r="F12" s="246"/>
      <x:c r="G12" s="246"/>
    </x:row>
    <x:row r="13">
      <x:c r="A13" s="316" t="str">
        <x:v>Checklist conjunto para aprobar una pantalla</x:v>
      </x:c>
      <x:c r="B13" s="316" t="str">
        <x:v>Checklist conjunto para aprobar una pantalla</x:v>
      </x:c>
      <x:c r="C13" s="316" t="str">
        <x:v>Checklist conjunto para aprobar una pantalla</x:v>
      </x:c>
      <x:c r="D13" s="316" t="str">
        <x:v>Checklist conjunto para aprobar una pantalla</x:v>
      </x:c>
      <x:c r="E13" s="316" t="str">
        <x:v>Checklist conjunto para aprobar una pantalla</x:v>
      </x:c>
      <x:c r="F13" s="316" t="str">
        <x:v>Checklist conjunto para aprobar una pantalla</x:v>
      </x:c>
      <x:c r="G13" s="316" t="str">
        <x:v>Checklist conjunto para aprobar una pantalla</x:v>
      </x:c>
    </x:row>
    <x:row r="14">
      <x:c r="A14" s="299" t="str">
        <x:v>1</x:v>
      </x:c>
      <x:c r="B14" s="299" t="str">
        <x:v>Flujo</x:v>
      </x:c>
      <x:c r="C14" s="299" t="str">
        <x:v>Se entiende qué hacer y qué ocurrirá después.</x:v>
      </x:c>
      <x:c r="D14" s="299" t="str">
        <x:v>Interaction</x:v>
      </x:c>
      <x:c r="E14" s="299" t="str">
        <x:v>Franco</x:v>
      </x:c>
      <x:c r="F14" s="299" t="str">
        <x:v>Sí/No</x:v>
      </x:c>
      <x:c r="G14" s="299" t="str"/>
    </x:row>
    <x:row r="15">
      <x:c r="A15" s="299" t="str">
        <x:v>2</x:v>
      </x:c>
      <x:c r="B15" s="299" t="str">
        <x:v>Feedback</x:v>
      </x:c>
      <x:c r="C15" s="299" t="str">
        <x:v>Botones, carga, éxito y error muestran el estado real.</x:v>
      </x:c>
      <x:c r="D15" s="299" t="str">
        <x:v>Interaction</x:v>
      </x:c>
      <x:c r="E15" s="299" t="str">
        <x:v>Franco</x:v>
      </x:c>
      <x:c r="F15" s="299" t="str">
        <x:v>Sí/No</x:v>
      </x:c>
      <x:c r="G15" s="299" t="str"/>
    </x:row>
    <x:row r="16">
      <x:c r="A16" s="299" t="str">
        <x:v>3</x:v>
      </x:c>
      <x:c r="B16" s="299" t="str">
        <x:v>Jerarquía</x:v>
      </x:c>
      <x:c r="C16" s="299" t="str">
        <x:v>La acción principal y la información clínica importante destacan.</x:v>
      </x:c>
      <x:c r="D16" s="299" t="str">
        <x:v>Visual</x:v>
      </x:c>
      <x:c r="E16" s="299" t="str">
        <x:v>Nicole</x:v>
      </x:c>
      <x:c r="F16" s="299" t="str">
        <x:v>Sí/No</x:v>
      </x:c>
      <x:c r="G16" s="299" t="str"/>
    </x:row>
    <x:row r="17">
      <x:c r="A17" s="299" t="str">
        <x:v>4</x:v>
      </x:c>
      <x:c r="B17" s="299" t="str">
        <x:v>Accesibilidad</x:v>
      </x:c>
      <x:c r="C17" s="299" t="str">
        <x:v>Contraste, foco, etiquetas y mensajes son legibles.</x:v>
      </x:c>
      <x:c r="D17" s="299" t="str">
        <x:v>Visual</x:v>
      </x:c>
      <x:c r="E17" s="299" t="str">
        <x:v>Nicole</x:v>
      </x:c>
      <x:c r="F17" s="299" t="str">
        <x:v>Sí/No</x:v>
      </x:c>
      <x:c r="G17" s="299" t="str"/>
    </x:row>
    <x:row r="18">
      <x:c r="A18" s="299" t="str">
        <x:v>5</x:v>
      </x:c>
      <x:c r="B18" s="299" t="str">
        <x:v>Movimiento</x:v>
      </x:c>
      <x:c r="C18" s="299" t="str">
        <x:v>La transición explica el cambio y no distrae ni retrasa.</x:v>
      </x:c>
      <x:c r="D18" s="299" t="str">
        <x:v>Motion</x:v>
      </x:c>
      <x:c r="E18" s="299" t="str">
        <x:v>Álvaro</x:v>
      </x:c>
      <x:c r="F18" s="299" t="str">
        <x:v>Sí/No</x:v>
      </x:c>
      <x:c r="G18" s="299" t="str"/>
    </x:row>
    <x:row r="19">
      <x:c r="A19" s="299" t="str">
        <x:v>6</x:v>
      </x:c>
      <x:c r="B19" s="299" t="str">
        <x:v>Reduced motion</x:v>
      </x:c>
      <x:c r="C19" s="299" t="str">
        <x:v>La interfaz sigue funcionando con movimiento reducido.</x:v>
      </x:c>
      <x:c r="D19" s="299" t="str">
        <x:v>Motion</x:v>
      </x:c>
      <x:c r="E19" s="299" t="str">
        <x:v>Álvaro</x:v>
      </x:c>
      <x:c r="F19" s="299" t="str">
        <x:v>Sí/No</x:v>
      </x:c>
      <x:c r="G19" s="299" t="str"/>
    </x:row>
  </x:sheetData>
  <x:mergeCells>
    <x:mergeCell ref="A1:G2"/>
    <x:mergeCell ref="A3:G3"/>
    <x:mergeCell ref="A11:G11"/>
    <x:mergeCell ref="A13:G13"/>
  </x:mergeCells>
  <x:dataValidations count="1">
    <x:dataValidation type="list" sqref="F14:F19">
      <x:formula1>"Pendiente,Sí,No"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45" hidden="0" customWidth="1"/>
    <x:col min="4" max="4" width="16" hidden="0" customWidth="1"/>
    <x:col min="5" max="5" width="38" hidden="0" customWidth="1"/>
    <x:col min="6" max="6" width="15" hidden="0" customWidth="1"/>
    <x:col min="7" max="7" width="15" hidden="0" customWidth="1"/>
  </x:cols>
  <x:sheetData>
    <x:row r="1" ht="38" customHeight="1">
      <x:c r="A1" s="321" t="str">
        <x:v>Definition of Done, riesgos y reglas de decisión</x:v>
      </x:c>
      <x:c r="B1" s="321" t="str">
        <x:v>Definition of Done, riesgos y reglas de decisión</x:v>
      </x:c>
      <x:c r="C1" s="321" t="str">
        <x:v>Definition of Done, riesgos y reglas de decisión</x:v>
      </x:c>
      <x:c r="D1" s="321" t="str">
        <x:v>Definition of Done, riesgos y reglas de decisión</x:v>
      </x:c>
      <x:c r="E1" s="321" t="str">
        <x:v>Definition of Done, riesgos y reglas de decisión</x:v>
      </x:c>
      <x:c r="F1" s="321" t="str">
        <x:v>Definition of Done, riesgos y reglas de decisión</x:v>
      </x:c>
      <x:c r="G1" s="321" t="str">
        <x:v>Definition of Done, riesgos y reglas de decisión</x:v>
      </x:c>
    </x:row>
    <x:row r="2" ht="38" customHeight="1">
      <x:c r="A2" s="321" t="str">
        <x:v>Definition of Done, riesgos y reglas de decisión</x:v>
      </x:c>
      <x:c r="B2" s="321" t="str">
        <x:v>Definition of Done, riesgos y reglas de decisión</x:v>
      </x:c>
      <x:c r="C2" s="321" t="str">
        <x:v>Definition of Done, riesgos y reglas de decisión</x:v>
      </x:c>
      <x:c r="D2" s="321" t="str">
        <x:v>Definition of Done, riesgos y reglas de decisión</x:v>
      </x:c>
      <x:c r="E2" s="321" t="str">
        <x:v>Definition of Done, riesgos y reglas de decisión</x:v>
      </x:c>
      <x:c r="F2" s="321" t="str">
        <x:v>Definition of Done, riesgos y reglas de decisión</x:v>
      </x:c>
      <x:c r="G2" s="321" t="str">
        <x:v>Definition of Done, riesgos y reglas de decisión</x:v>
      </x:c>
    </x:row>
    <x:row r="3" ht="30" customHeight="1">
      <x:c r="A3" s="245" t="str">
        <x:v>Una tarea o historia no está Hecha solo porque compila o se mostró una vez: debe cumplir evidencia, contrato, seguridad e integración proporcional a su riesgo.</x:v>
      </x:c>
      <x:c r="B3" s="245" t="str">
        <x:v>Una tarea o historia no está Hecha solo porque compila o se mostró una vez: debe cumplir evidencia, contrato, seguridad e integración proporcional a su riesgo.</x:v>
      </x:c>
      <x:c r="C3" s="245" t="str">
        <x:v>Una tarea o historia no está Hecha solo porque compila o se mostró una vez: debe cumplir evidencia, contrato, seguridad e integración proporcional a su riesgo.</x:v>
      </x:c>
      <x:c r="D3" s="245" t="str">
        <x:v>Una tarea o historia no está Hecha solo porque compila o se mostró una vez: debe cumplir evidencia, contrato, seguridad e integración proporcional a su riesgo.</x:v>
      </x:c>
      <x:c r="E3" s="245" t="str">
        <x:v>Una tarea o historia no está Hecha solo porque compila o se mostró una vez: debe cumplir evidencia, contrato, seguridad e integración proporcional a su riesgo.</x:v>
      </x:c>
      <x:c r="F3" s="245" t="str">
        <x:v>Una tarea o historia no está Hecha solo porque compila o se mostró una vez: debe cumplir evidencia, contrato, seguridad e integración proporcional a su riesgo.</x:v>
      </x:c>
      <x:c r="G3" s="245" t="str">
        <x:v>Una tarea o historia no está Hecha solo porque compila o se mostró una vez: debe cumplir evidencia, contrato, seguridad e integración proporcional a su riesgo.</x:v>
      </x:c>
    </x:row>
    <x:row r="4">
      <x:c r="A4" s="246"/>
      <x:c r="B4" s="246"/>
      <x:c r="C4" s="246"/>
      <x:c r="D4" s="246"/>
      <x:c r="E4" s="246"/>
      <x:c r="F4" s="246"/>
      <x:c r="G4" s="246"/>
    </x:row>
    <x:row r="5" ht="25" customHeight="1">
      <x:c r="A5" s="247" t="str">
        <x:v>DEFINITION OF DONE</x:v>
      </x:c>
      <x:c r="B5" s="247" t="str">
        <x:v>DEFINITION OF DONE</x:v>
      </x:c>
      <x:c r="C5" s="247" t="str">
        <x:v>DEFINITION OF DONE</x:v>
      </x:c>
      <x:c r="D5" s="247" t="str">
        <x:v>DEFINITION OF DONE</x:v>
      </x:c>
      <x:c r="E5" s="247" t="str">
        <x:v>DEFINITION OF DONE</x:v>
      </x:c>
      <x:c r="F5" s="247" t="str">
        <x:v>DEFINITION OF DONE</x:v>
      </x:c>
      <x:c r="G5" s="247" t="str">
        <x:v>DEFINITION OF DONE</x:v>
      </x:c>
    </x:row>
    <x:row r="6" ht="32" customHeight="1">
      <x:c r="A6" s="295" t="str">
        <x:v>Dimensión</x:v>
      </x:c>
      <x:c r="B6" s="295" t="str">
        <x:v>Condición</x:v>
      </x:c>
      <x:c r="C6" s="295" t="str">
        <x:v>Condición</x:v>
      </x:c>
      <x:c r="D6" s="295" t="str">
        <x:v>Condición</x:v>
      </x:c>
      <x:c r="E6" s="295" t="str">
        <x:v>Evidencia mínima</x:v>
      </x:c>
      <x:c r="F6" s="295" t="str">
        <x:v>Evidencia mínima</x:v>
      </x:c>
      <x:c r="G6" s="295" t="str">
        <x:v>Evidencia mínima</x:v>
      </x:c>
    </x:row>
    <x:row r="7" ht="48" customHeight="1">
      <x:c r="A7" s="299" t="str">
        <x:v>Código</x:v>
      </x:c>
      <x:c r="B7" s="299" t="str">
        <x:v>Implementación en rama acordada, revisada y sin cambios secretos/locales accidentales.</x:v>
      </x:c>
      <x:c r="C7" s="299" t="str">
        <x:v>Implementación en rama acordada, revisada y sin cambios secretos/locales accidentales.</x:v>
      </x:c>
      <x:c r="D7" s="299" t="str">
        <x:v>Implementación en rama acordada, revisada y sin cambios secretos/locales accidentales.</x:v>
      </x:c>
      <x:c r="E7" s="299" t="str">
        <x:v>Todo cambio P0 con revisión del dueño + Tech Lead.</x:v>
      </x:c>
      <x:c r="F7" s="299" t="str">
        <x:v>Todo cambio P0 con revisión del dueño + Tech Lead.</x:v>
      </x:c>
      <x:c r="G7" s="299" t="str">
        <x:v>Todo cambio P0 con revisión del dueño + Tech Lead.</x:v>
      </x:c>
    </x:row>
    <x:row r="8" ht="48" customHeight="1">
      <x:c r="A8" s="299" t="str">
        <x:v>Contrato</x:v>
      </x:c>
      <x:c r="B8" s="299" t="str">
        <x:v>Ruta, roles, request, response y error están en docs/contracts/OpenAPI.</x:v>
      </x:c>
      <x:c r="C8" s="299" t="str">
        <x:v>Ruta, roles, request, response y error están en docs/contracts/OpenAPI.</x:v>
      </x:c>
      <x:c r="D8" s="299" t="str">
        <x:v>Ruta, roles, request, response y error están en docs/contracts/OpenAPI.</x:v>
      </x:c>
      <x:c r="E8" s="299" t="str">
        <x:v>Frontend y consumidor usan el contrato publicado.</x:v>
      </x:c>
      <x:c r="F8" s="299" t="str">
        <x:v>Frontend y consumidor usan el contrato publicado.</x:v>
      </x:c>
      <x:c r="G8" s="299" t="str">
        <x:v>Frontend y consumidor usan el contrato publicado.</x:v>
      </x:c>
    </x:row>
    <x:row r="9" ht="48" customHeight="1">
      <x:c r="A9" s="299" t="str">
        <x:v>Seguridad</x:v>
      </x:c>
      <x:c r="B9" s="299" t="str">
        <x:v>JWT/rol/tenant aplicados; no se confía en headers desde el host.</x:v>
      </x:c>
      <x:c r="C9" s="299" t="str">
        <x:v>JWT/rol/tenant aplicados; no se confía en headers desde el host.</x:v>
      </x:c>
      <x:c r="D9" s="299" t="str">
        <x:v>JWT/rol/tenant aplicados; no se confía en headers desde el host.</x:v>
      </x:c>
      <x:c r="E9" s="299" t="str">
        <x:v>Prueba positiva y negativa entre dos organizaciones.</x:v>
      </x:c>
      <x:c r="F9" s="299" t="str">
        <x:v>Prueba positiva y negativa entre dos organizaciones.</x:v>
      </x:c>
      <x:c r="G9" s="299" t="str">
        <x:v>Prueba positiva y negativa entre dos organizaciones.</x:v>
      </x:c>
    </x:row>
    <x:row r="10" ht="48" customHeight="1">
      <x:c r="A10" s="299" t="str">
        <x:v>Integración</x:v>
      </x:c>
      <x:c r="B10" s="299" t="str">
        <x:v>Funciona en perfil integrated y falla controladamente si falta una dependencia.</x:v>
      </x:c>
      <x:c r="C10" s="299" t="str">
        <x:v>Funciona en perfil integrated y falla controladamente si falta una dependencia.</x:v>
      </x:c>
      <x:c r="D10" s="299" t="str">
        <x:v>Funciona en perfil integrated y falla controladamente si falta una dependencia.</x:v>
      </x:c>
      <x:c r="E10" s="299" t="str">
        <x:v>No se usan dobles silenciosos en evidencia final.</x:v>
      </x:c>
      <x:c r="F10" s="299" t="str">
        <x:v>No se usan dobles silenciosos en evidencia final.</x:v>
      </x:c>
      <x:c r="G10" s="299" t="str">
        <x:v>No se usan dobles silenciosos en evidencia final.</x:v>
      </x:c>
    </x:row>
    <x:row r="11" ht="48" customHeight="1">
      <x:c r="A11" s="299" t="str">
        <x:v>Pruebas</x:v>
      </x:c>
      <x:c r="B11" s="299" t="str">
        <x:v>Unitarias, integración y contrato verdes; ningún skip oculto.</x:v>
      </x:c>
      <x:c r="C11" s="299" t="str">
        <x:v>Unitarias, integración y contrato verdes; ningún skip oculto.</x:v>
      </x:c>
      <x:c r="D11" s="299" t="str">
        <x:v>Unitarias, integración y contrato verdes; ningún skip oculto.</x:v>
      </x:c>
      <x:c r="E11" s="299" t="str">
        <x:v>Reporte guardado y reproducible.</x:v>
      </x:c>
      <x:c r="F11" s="299" t="str">
        <x:v>Reporte guardado y reproducible.</x:v>
      </x:c>
      <x:c r="G11" s="299" t="str">
        <x:v>Reporte guardado y reproducible.</x:v>
      </x:c>
    </x:row>
    <x:row r="12" ht="48" customHeight="1">
      <x:c r="A12" s="299" t="str">
        <x:v>Frontend</x:v>
      </x:c>
      <x:c r="B12" s="299" t="str">
        <x:v>Loading, vacío, éxito y error; navegación y permisos; correlation ID visible en error.</x:v>
      </x:c>
      <x:c r="C12" s="299" t="str">
        <x:v>Loading, vacío, éxito y error; navegación y permisos; correlation ID visible en error.</x:v>
      </x:c>
      <x:c r="D12" s="299" t="str">
        <x:v>Loading, vacío, éxito y error; navegación y permisos; correlation ID visible en error.</x:v>
      </x:c>
      <x:c r="E12" s="299" t="str">
        <x:v>Revisión Interaction + Visual + Motion cuando aplique.</x:v>
      </x:c>
      <x:c r="F12" s="299" t="str">
        <x:v>Revisión Interaction + Visual + Motion cuando aplique.</x:v>
      </x:c>
      <x:c r="G12" s="299" t="str">
        <x:v>Revisión Interaction + Visual + Motion cuando aplique.</x:v>
      </x:c>
    </x:row>
    <x:row r="13" ht="48" customHeight="1">
      <x:c r="A13" s="299" t="str">
        <x:v>Operación</x:v>
      </x:c>
      <x:c r="B13" s="299" t="str">
        <x:v>Health/readiness y arranque limpio documentados.</x:v>
      </x:c>
      <x:c r="C13" s="299" t="str">
        <x:v>Health/readiness y arranque limpio documentados.</x:v>
      </x:c>
      <x:c r="D13" s="299" t="str">
        <x:v>Health/readiness y arranque limpio documentados.</x:v>
      </x:c>
      <x:c r="E13" s="299" t="str">
        <x:v>Smoke y E2E pasan desde un entorno limpio.</x:v>
      </x:c>
      <x:c r="F13" s="299" t="str">
        <x:v>Smoke y E2E pasan desde un entorno limpio.</x:v>
      </x:c>
      <x:c r="G13" s="299" t="str">
        <x:v>Smoke y E2E pasan desde un entorno limpio.</x:v>
      </x:c>
    </x:row>
    <x:row r="14" ht="48" customHeight="1">
      <x:c r="A14" s="299" t="str">
        <x:v>Evidencia</x:v>
      </x:c>
      <x:c r="B14" s="299" t="str">
        <x:v>Captura/log/request del criterio de aceptación y enlace a defecto si falla.</x:v>
      </x:c>
      <x:c r="C14" s="299" t="str">
        <x:v>Captura/log/request del criterio de aceptación y enlace a defecto si falla.</x:v>
      </x:c>
      <x:c r="D14" s="299" t="str">
        <x:v>Captura/log/request del criterio de aceptación y enlace a defecto si falla.</x:v>
      </x:c>
      <x:c r="E14" s="299" t="str">
        <x:v>Checklist 15/15 actualizado.</x:v>
      </x:c>
      <x:c r="F14" s="299" t="str">
        <x:v>Checklist 15/15 actualizado.</x:v>
      </x:c>
      <x:c r="G14" s="299" t="str">
        <x:v>Checklist 15/15 actualizado.</x:v>
      </x:c>
    </x:row>
    <x:row r="15">
      <x:c r="A15" s="246"/>
      <x:c r="B15" s="246"/>
      <x:c r="C15" s="246"/>
      <x:c r="D15" s="246"/>
      <x:c r="E15" s="246"/>
      <x:c r="F15" s="246"/>
      <x:c r="G15" s="246"/>
    </x:row>
    <x:row r="16">
      <x:c r="A16" s="246"/>
      <x:c r="B16" s="246"/>
      <x:c r="C16" s="246"/>
      <x:c r="D16" s="246"/>
      <x:c r="E16" s="246"/>
      <x:c r="F16" s="246"/>
      <x:c r="G16" s="246"/>
    </x:row>
    <x:row r="17" ht="25" customHeight="1">
      <x:c r="A17" s="320" t="str">
        <x:v>RIESGOS DEL SPRINT</x:v>
      </x:c>
      <x:c r="B17" s="320" t="str">
        <x:v>RIESGOS DEL SPRINT</x:v>
      </x:c>
      <x:c r="C17" s="320" t="str">
        <x:v>RIESGOS DEL SPRINT</x:v>
      </x:c>
      <x:c r="D17" s="320" t="str">
        <x:v>RIESGOS DEL SPRINT</x:v>
      </x:c>
      <x:c r="E17" s="320" t="str">
        <x:v>RIESGOS DEL SPRINT</x:v>
      </x:c>
      <x:c r="F17" s="320" t="str">
        <x:v>RIESGOS DEL SPRINT</x:v>
      </x:c>
      <x:c r="G17" s="320" t="str">
        <x:v>RIESGOS DEL SPRINT</x:v>
      </x:c>
    </x:row>
    <x:row r="18" ht="32" customHeight="1">
      <x:c r="A18" s="295" t="str">
        <x:v>ID</x:v>
      </x:c>
      <x:c r="B18" s="295" t="str">
        <x:v>Riesgo</x:v>
      </x:c>
      <x:c r="C18" s="295" t="str">
        <x:v>Probabilidad</x:v>
      </x:c>
      <x:c r="D18" s="295" t="str">
        <x:v>Impacto</x:v>
      </x:c>
      <x:c r="E18" s="295" t="str">
        <x:v>Mitigación / regla de recorte</x:v>
      </x:c>
      <x:c r="F18" s="295" t="str">
        <x:v>Dueño</x:v>
      </x:c>
      <x:c r="G18" s="295" t="str">
        <x:v>Estado</x:v>
      </x:c>
    </x:row>
    <x:row r="19" ht="56" customHeight="1">
      <x:c r="A19" s="299" t="str">
        <x:v>R-01</x:v>
      </x:c>
      <x:c r="B19" s="299" t="str">
        <x:v>Capacidad mayor a 40 h para algunos responsables</x:v>
      </x:c>
      <x:c r="C19" s="299" t="str">
        <x:v>Alta</x:v>
      </x:c>
      <x:c r="D19" s="299" t="str">
        <x:v>Alta</x:v>
      </x:c>
      <x:c r="E19" s="299" t="str">
        <x:v>Mantener HU-01 a HU-13 como meta, pero recortar primero HU-14 y mejoras P2; no recortar seguridad P0.</x:v>
      </x:c>
      <x:c r="F19" s="299" t="str">
        <x:v>Franco</x:v>
      </x:c>
      <x:c r="G19" s="299" t="str">
        <x:v>Abierto</x:v>
      </x:c>
    </x:row>
    <x:row r="20" ht="56" customHeight="1">
      <x:c r="A20" s="299" t="str">
        <x:v>R-02</x:v>
      </x:c>
      <x:c r="B20" s="299" t="str">
        <x:v>Los modos locales ocultan contratos rotos</x:v>
      </x:c>
      <x:c r="C20" s="299" t="str">
        <x:v>Alta</x:v>
      </x:c>
      <x:c r="D20" s="299" t="str">
        <x:v>Alta</x:v>
      </x:c>
      <x:c r="E20" s="299" t="str">
        <x:v>Usar perfil integrated desde el Día 2 y probar caída de dependencias.</x:v>
      </x:c>
      <x:c r="F20" s="299" t="str">
        <x:v>Nicole</x:v>
      </x:c>
      <x:c r="G20" s="299" t="str">
        <x:v>Abierto</x:v>
      </x:c>
    </x:row>
    <x:row r="21" ht="56" customHeight="1">
      <x:c r="A21" s="299" t="str">
        <x:v>R-03</x:v>
      </x:c>
      <x:c r="B21" s="299" t="str">
        <x:v>Frontend inicia antes de congelar rutas/JSON</x:v>
      </x:c>
      <x:c r="C21" s="299" t="str">
        <x:v>Media</x:v>
      </x:c>
      <x:c r="D21" s="299" t="str">
        <x:v>Alta</x:v>
      </x:c>
      <x:c r="E21" s="299" t="str">
        <x:v>Contrato v1 y ejemplos ejecutables antes de conectar cada pantalla.</x:v>
      </x:c>
      <x:c r="F21" s="299" t="str">
        <x:v>Juanjo</x:v>
      </x:c>
      <x:c r="G21" s="299" t="str">
        <x:v>Abierto</x:v>
      </x:c>
    </x:row>
    <x:row r="22" ht="56" customHeight="1">
      <x:c r="A22" s="299" t="str">
        <x:v>R-04</x:v>
      </x:c>
      <x:c r="B22" s="299" t="str">
        <x:v>Sobrecarga de Nicole por Pacientes, Documental, Gateway, integración y diseño visual</x:v>
      </x:c>
      <x:c r="C22" s="299" t="str">
        <x:v>Alta</x:v>
      </x:c>
      <x:c r="D22" s="299" t="str">
        <x:v>Alta</x:v>
      </x:c>
      <x:c r="E22" s="299" t="str">
        <x:v>Jhon lidera shell frontend/evidencias; cada dueño integra sus pantallas; Franco decide recortes diarios.</x:v>
      </x:c>
      <x:c r="F22" s="299" t="str">
        <x:v>Franco</x:v>
      </x:c>
      <x:c r="G22" s="299" t="str">
        <x:v>Abierto</x:v>
      </x:c>
    </x:row>
    <x:row r="23" ht="56" customHeight="1">
      <x:c r="A23" s="299" t="str">
        <x:v>R-05</x:v>
      </x:c>
      <x:c r="B23" s="299" t="str">
        <x:v>Trabajo de fin de semana reduce disponibilidad real</x:v>
      </x:c>
      <x:c r="C23" s="299" t="str">
        <x:v>Media</x:v>
      </x:c>
      <x:c r="D23" s="299" t="str">
        <x:v>Alta</x:v>
      </x:c>
      <x:c r="E23" s="299" t="str">
        <x:v>Daily corto, bloques pequeños, evidencia al cierre y reasignación temprana.</x:v>
      </x:c>
      <x:c r="F23" s="299" t="str">
        <x:v>Franco</x:v>
      </x:c>
      <x:c r="G23" s="299" t="str">
        <x:v>Abierto</x:v>
      </x:c>
    </x:row>
    <x:row r="24" ht="56" customHeight="1">
      <x:c r="A24" s="299" t="str">
        <x:v>R-06</x:v>
      </x:c>
      <x:c r="B24" s="299" t="str">
        <x:v>Tests omitidos se interpretan como aprobados</x:v>
      </x:c>
      <x:c r="C24" s="299" t="str">
        <x:v>Alta</x:v>
      </x:c>
      <x:c r="D24" s="299" t="str">
        <x:v>Alta</x:v>
      </x:c>
      <x:c r="E24" s="299" t="str">
        <x:v>Fallará el checklist si Testcontainers/contratos aparecen Skipped sin justificación.</x:v>
      </x:c>
      <x:c r="F24" s="299" t="str">
        <x:v>Juanjo</x:v>
      </x:c>
      <x:c r="G24" s="299" t="str">
        <x:v>Abierto</x:v>
      </x:c>
    </x:row>
    <x:row r="25" ht="56" customHeight="1">
      <x:c r="A25" s="299" t="str">
        <x:v>R-07</x:v>
      </x:c>
      <x:c r="B25" s="299" t="str">
        <x:v>Animaciones consumen tiempo o empeoran accesibilidad</x:v>
      </x:c>
      <x:c r="C25" s="299" t="str">
        <x:v>Media</x:v>
      </x:c>
      <x:c r="D25" s="299" t="str">
        <x:v>Media</x:v>
      </x:c>
      <x:c r="E25" s="299" t="str">
        <x:v>Solo movimiento funcional; respetar reduced-motion; cortar adornos antes que flujo.</x:v>
      </x:c>
      <x:c r="F25" s="299" t="str">
        <x:v>Álvaro</x:v>
      </x:c>
      <x:c r="G25" s="299" t="str">
        <x:v>Abierto</x:v>
      </x:c>
    </x:row>
    <x:row r="26">
      <x:c r="A26" s="246"/>
      <x:c r="B26" s="246"/>
      <x:c r="C26" s="246"/>
      <x:c r="D26" s="246"/>
      <x:c r="E26" s="246"/>
      <x:c r="F26" s="246"/>
      <x:c r="G26" s="246"/>
    </x:row>
    <x:row r="27">
      <x:c r="A27" s="246"/>
      <x:c r="B27" s="246"/>
      <x:c r="C27" s="246"/>
      <x:c r="D27" s="246"/>
      <x:c r="E27" s="246"/>
      <x:c r="F27" s="246"/>
      <x:c r="G27" s="246"/>
    </x:row>
    <x:row r="28" ht="25" customHeight="1">
      <x:c r="A28" s="287" t="str">
        <x:v>CRITERIOS DE ÉXITO DEL SPRINT</x:v>
      </x:c>
      <x:c r="B28" s="287" t="str">
        <x:v>CRITERIOS DE ÉXITO DEL SPRINT</x:v>
      </x:c>
      <x:c r="C28" s="287" t="str">
        <x:v>CRITERIOS DE ÉXITO DEL SPRINT</x:v>
      </x:c>
      <x:c r="D28" s="287" t="str">
        <x:v>CRITERIOS DE ÉXITO DEL SPRINT</x:v>
      </x:c>
      <x:c r="E28" s="287" t="str">
        <x:v>CRITERIOS DE ÉXITO DEL SPRINT</x:v>
      </x:c>
      <x:c r="F28" s="287" t="str">
        <x:v>CRITERIOS DE ÉXITO DEL SPRINT</x:v>
      </x:c>
      <x:c r="G28" s="287" t="str">
        <x:v>CRITERIOS DE ÉXITO DEL SPRINT</x:v>
      </x:c>
    </x:row>
    <x:row r="29" ht="32" customHeight="1">
      <x:c r="A29" s="295" t="str">
        <x:v>ID</x:v>
      </x:c>
      <x:c r="B29" s="295" t="str">
        <x:v>Resultado</x:v>
      </x:c>
      <x:c r="C29" s="295" t="str">
        <x:v>Condición verificable</x:v>
      </x:c>
      <x:c r="D29" s="295" t="str">
        <x:v>Nivel</x:v>
      </x:c>
      <x:c r="E29" s="295" t="str">
        <x:v>Evidencia</x:v>
      </x:c>
      <x:c r="F29" s="295" t="str">
        <x:v>Dueño</x:v>
      </x:c>
      <x:c r="G29" s="295" t="str">
        <x:v>Estado</x:v>
      </x:c>
    </x:row>
    <x:row r="30">
      <x:c r="A30" s="299" t="str">
        <x:v>E1</x:v>
      </x:c>
      <x:c r="B30" s="299" t="str">
        <x:v>Recorrido vertical</x:v>
      </x:c>
      <x:c r="C30" s="299" t="str">
        <x:v>Login→paciente→profesional→cita→atención→estudio→documento→aviso manual→factura</x:v>
      </x:c>
      <x:c r="D30" s="299" t="str">
        <x:v>Obligatorio</x:v>
      </x:c>
      <x:c r="E30" s="299" t="str">
        <x:v>E2E por gateway</x:v>
      </x:c>
      <x:c r="F30" s="299" t="str">
        <x:v>Nicole</x:v>
      </x:c>
      <x:c r="G30" s="299" t="str">
        <x:v>Pendiente</x:v>
      </x:c>
    </x:row>
    <x:row r="31">
      <x:c r="A31" s="299" t="str">
        <x:v>E2</x:v>
      </x:c>
      <x:c r="B31" s="299" t="str">
        <x:v>Integración real</x:v>
      </x:c>
      <x:c r="C31" s="299" t="str">
        <x:v>Perfil integrated, clientes remotos activos y sin dobles silenciosos</x:v>
      </x:c>
      <x:c r="D31" s="299" t="str">
        <x:v>Obligatorio</x:v>
      </x:c>
      <x:c r="E31" s="299" t="str">
        <x:v>Pruebas de caída</x:v>
      </x:c>
      <x:c r="F31" s="299" t="str">
        <x:v>Nicole</x:v>
      </x:c>
      <x:c r="G31" s="299" t="str">
        <x:v>Pendiente</x:v>
      </x:c>
    </x:row>
    <x:row r="32">
      <x:c r="A32" s="299" t="str">
        <x:v>E3</x:v>
      </x:c>
      <x:c r="B32" s="299" t="str">
        <x:v>Seguridad</x:v>
      </x:c>
      <x:c r="C32" s="299" t="str">
        <x:v>JWT/roles/tenant y revocación en rutas privadas</x:v>
      </x:c>
      <x:c r="D32" s="299" t="str">
        <x:v>Obligatorio</x:v>
      </x:c>
      <x:c r="E32" s="299" t="str">
        <x:v>Pruebas A/B y token revocado</x:v>
      </x:c>
      <x:c r="F32" s="299" t="str">
        <x:v>Álvaro</x:v>
      </x:c>
      <x:c r="G32" s="299" t="str">
        <x:v>Pendiente</x:v>
      </x:c>
    </x:row>
    <x:row r="33">
      <x:c r="A33" s="299" t="str">
        <x:v>E4</x:v>
      </x:c>
      <x:c r="B33" s="299" t="str">
        <x:v>Contratos</x:v>
      </x:c>
      <x:c r="C33" s="299" t="str">
        <x:v>Rutas/JSON/error/correlation ID congelados y versionados</x:v>
      </x:c>
      <x:c r="D33" s="299" t="str">
        <x:v>Obligatorio</x:v>
      </x:c>
      <x:c r="E33" s="299" t="str">
        <x:v>docs/contracts + contract tests</x:v>
      </x:c>
      <x:c r="F33" s="299" t="str">
        <x:v>Juanjo</x:v>
      </x:c>
      <x:c r="G33" s="299" t="str">
        <x:v>Pendiente</x:v>
      </x:c>
    </x:row>
    <x:row r="34">
      <x:c r="A34" s="299" t="str">
        <x:v>E5</x:v>
      </x:c>
      <x:c r="B34" s="299" t="str">
        <x:v>Calidad</x:v>
      </x:c>
      <x:c r="C34" s="299" t="str">
        <x:v>Suites verdes; skips justificados; evidencia 15/15</x:v>
      </x:c>
      <x:c r="D34" s="299" t="str">
        <x:v>Obligatorio</x:v>
      </x:c>
      <x:c r="E34" s="299" t="str">
        <x:v>Reportes y carpeta demo</x:v>
      </x:c>
      <x:c r="F34" s="299" t="str">
        <x:v>Jhon</x:v>
      </x:c>
      <x:c r="G34" s="299" t="str">
        <x:v>Pendiente</x:v>
      </x:c>
    </x:row>
    <x:row r="35">
      <x:c r="A35" s="299" t="str">
        <x:v>E6</x:v>
      </x:c>
      <x:c r="B35" s="299" t="str">
        <x:v>Experiencia</x:v>
      </x:c>
      <x:c r="C35" s="299" t="str">
        <x:v>Flujo claro, visual coherente y movimiento funcional/accesible</x:v>
      </x:c>
      <x:c r="D35" s="299" t="str">
        <x:v>Obligatorio</x:v>
      </x:c>
      <x:c r="E35" s="299" t="str">
        <x:v>Aprobación de los tres roles</x:v>
      </x:c>
      <x:c r="F35" s="299" t="str">
        <x:v>Franco</x:v>
      </x:c>
      <x:c r="G35" s="299" t="str">
        <x:v>Pendiente</x:v>
      </x:c>
    </x:row>
  </x:sheetData>
  <x:mergeCells>
    <x:mergeCell ref="A1:G2"/>
    <x:mergeCell ref="A3:G3"/>
    <x:mergeCell ref="A5:G5"/>
    <x:mergeCell ref="B6:D6"/>
    <x:mergeCell ref="E6:G6"/>
    <x:mergeCell ref="B7:D7"/>
    <x:mergeCell ref="E7:G7"/>
    <x:mergeCell ref="B8:D8"/>
    <x:mergeCell ref="E8:G8"/>
    <x:mergeCell ref="B9:D9"/>
    <x:mergeCell ref="E9:G9"/>
    <x:mergeCell ref="B10:D10"/>
    <x:mergeCell ref="E10:G10"/>
    <x:mergeCell ref="B11:D11"/>
    <x:mergeCell ref="E11:G11"/>
    <x:mergeCell ref="B12:D12"/>
    <x:mergeCell ref="E12:G12"/>
    <x:mergeCell ref="B13:D13"/>
    <x:mergeCell ref="E13:G13"/>
    <x:mergeCell ref="B14:D14"/>
    <x:mergeCell ref="E14:G14"/>
    <x:mergeCell ref="A17:G17"/>
    <x:mergeCell ref="A28:G28"/>
  </x:mergeCells>
  <x:conditionalFormatting sqref="C19:D25">
    <x:cfRule type="containsText" dxfId="9" priority="1" operator="containsText" text="Alta"/>
  </x:conditionalFormatting>
  <x:conditionalFormatting sqref="G19:G25">
    <x:cfRule type="containsText" dxfId="10" priority="2" operator="containsText" text="Cerrado"/>
  </x:conditionalFormatting>
  <x:dataValidations count="3">
    <x:dataValidation type="list" sqref="C19:D25">
      <x:formula1>"Baja,Media,Alta"</x:formula1>
    </x:dataValidation>
    <x:dataValidation type="list" sqref="G19:G25">
      <x:formula1>"Abierto,Mitigado,Materializado,Cerrado"</x:formula1>
    </x:dataValidation>
    <x:dataValidation type="list" sqref="G30:G35">
      <x:formula1>"Pendiente,En curso,Cumplido,No cumplido"</x:formula1>
    </x:dataValidation>
  </x:dataValidations>
  <x:pageMargins left="0.7" right="0.7" top="0.75" bottom="0.75" header="0.3" footer="0.3"/>
</x:worksheet>
</file>